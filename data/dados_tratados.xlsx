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ike\OneDrive\Documentos\GitHub\analise-vendas-excel\data\"/>
    </mc:Choice>
  </mc:AlternateContent>
  <xr:revisionPtr revIDLastSave="0" documentId="13_ncr:1_{4C2FF5F0-E2C0-4FA5-828E-410EC354968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dos Tratados" sheetId="1" r:id="rId1"/>
    <sheet name="Detalhes1" sheetId="4" state="hidden" r:id="rId2"/>
    <sheet name="Análises" sheetId="2" r:id="rId3"/>
    <sheet name="Dashboard" sheetId="3" r:id="rId4"/>
  </sheets>
  <definedNames>
    <definedName name="_xlnm._FilterDatabase" localSheetId="0" hidden="1">'Dados Tratados'!$A$2:$G$123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B6" i="2"/>
  <c r="D6" i="2" s="1"/>
  <c r="G36" i="1"/>
  <c r="G13" i="1"/>
  <c r="G57" i="1"/>
  <c r="G7" i="1"/>
  <c r="G121" i="1"/>
  <c r="G98" i="1"/>
  <c r="G4" i="1"/>
  <c r="G25" i="1"/>
  <c r="G116" i="1"/>
  <c r="G6" i="1"/>
  <c r="G15" i="1"/>
  <c r="G63" i="1"/>
  <c r="G5" i="1"/>
  <c r="G58" i="1"/>
  <c r="G34" i="1"/>
  <c r="G85" i="1"/>
  <c r="G81" i="1"/>
  <c r="G33" i="1"/>
  <c r="G59" i="1"/>
  <c r="G19" i="1"/>
  <c r="G117" i="1"/>
  <c r="G40" i="1"/>
  <c r="G50" i="1"/>
  <c r="G61" i="1"/>
  <c r="G90" i="1"/>
  <c r="G14" i="1"/>
  <c r="G88" i="1"/>
  <c r="G55" i="1"/>
  <c r="G27" i="1"/>
  <c r="G44" i="1"/>
  <c r="G56" i="1"/>
  <c r="G16" i="1"/>
  <c r="G51" i="1"/>
  <c r="G41" i="1"/>
  <c r="G52" i="1"/>
  <c r="G10" i="1"/>
  <c r="G30" i="1"/>
  <c r="G95" i="1"/>
  <c r="G99" i="1"/>
  <c r="G73" i="1"/>
  <c r="G42" i="1"/>
  <c r="G31" i="1"/>
  <c r="G26" i="1"/>
  <c r="G64" i="1"/>
  <c r="G97" i="1"/>
  <c r="G114" i="1"/>
  <c r="G67" i="1"/>
  <c r="G91" i="1"/>
  <c r="G17" i="1"/>
  <c r="G18" i="1"/>
  <c r="G118" i="1"/>
  <c r="G115" i="1"/>
  <c r="G82" i="1"/>
  <c r="G87" i="1"/>
  <c r="G113" i="1"/>
  <c r="G72" i="1"/>
  <c r="G109" i="1"/>
  <c r="G76" i="1"/>
  <c r="G68" i="1"/>
  <c r="G77" i="1"/>
  <c r="G96" i="1"/>
  <c r="G48" i="1"/>
  <c r="G75" i="1"/>
  <c r="G37" i="1"/>
  <c r="G122" i="1"/>
  <c r="G11" i="1"/>
  <c r="G62" i="1"/>
  <c r="G84" i="1"/>
  <c r="G89" i="1"/>
  <c r="G39" i="1"/>
  <c r="G120" i="1"/>
  <c r="G78" i="1"/>
  <c r="G8" i="1"/>
  <c r="G93" i="1"/>
  <c r="G43" i="1"/>
  <c r="G110" i="1"/>
  <c r="G60" i="1"/>
  <c r="G29" i="1"/>
  <c r="G49" i="1"/>
  <c r="G105" i="1"/>
  <c r="G38" i="1"/>
  <c r="G9" i="1"/>
  <c r="G20" i="1"/>
  <c r="G35" i="1"/>
  <c r="G83" i="1"/>
  <c r="G21" i="1"/>
  <c r="G94" i="1"/>
  <c r="G65" i="1"/>
  <c r="G66" i="1"/>
  <c r="G32" i="1"/>
  <c r="G107" i="1"/>
  <c r="G102" i="1"/>
  <c r="G53" i="1"/>
  <c r="G47" i="1"/>
  <c r="G12" i="1"/>
  <c r="G54" i="1"/>
  <c r="G28" i="1"/>
  <c r="G106" i="1"/>
  <c r="G80" i="1"/>
  <c r="G112" i="1"/>
  <c r="G111" i="1"/>
  <c r="G71" i="1"/>
  <c r="G103" i="1"/>
  <c r="G79" i="1"/>
  <c r="G101" i="1"/>
  <c r="G70" i="1"/>
  <c r="G100" i="1"/>
  <c r="G119" i="1"/>
  <c r="G104" i="1"/>
  <c r="G22" i="1"/>
  <c r="G108" i="1"/>
  <c r="G24" i="1"/>
  <c r="G92" i="1"/>
  <c r="G23" i="1"/>
  <c r="G3" i="1"/>
  <c r="G45" i="1"/>
  <c r="G86" i="1"/>
  <c r="G46" i="1"/>
  <c r="G74" i="1"/>
  <c r="G69" i="1"/>
</calcChain>
</file>

<file path=xl/sharedStrings.xml><?xml version="1.0" encoding="utf-8"?>
<sst xmlns="http://schemas.openxmlformats.org/spreadsheetml/2006/main" count="436" uniqueCount="48">
  <si>
    <t>Data</t>
  </si>
  <si>
    <t>Produto</t>
  </si>
  <si>
    <t>Região</t>
  </si>
  <si>
    <t>Vendedor</t>
  </si>
  <si>
    <t>Quantidade</t>
  </si>
  <si>
    <t>Preço Unitário</t>
  </si>
  <si>
    <t>Receita</t>
  </si>
  <si>
    <t>Monitor</t>
  </si>
  <si>
    <t>Eduardo</t>
  </si>
  <si>
    <t>Notebook</t>
  </si>
  <si>
    <t>Carlos</t>
  </si>
  <si>
    <t>Daniela</t>
  </si>
  <si>
    <t>Teclado</t>
  </si>
  <si>
    <t>Headset</t>
  </si>
  <si>
    <t>Bruno</t>
  </si>
  <si>
    <t>Ana</t>
  </si>
  <si>
    <t>Mouse</t>
  </si>
  <si>
    <t>Norte</t>
  </si>
  <si>
    <t>Sul</t>
  </si>
  <si>
    <t>Sudeste</t>
  </si>
  <si>
    <t>Centro-Oeste</t>
  </si>
  <si>
    <t>Nordeste</t>
  </si>
  <si>
    <t>Qualitativa Ordinal</t>
  </si>
  <si>
    <t>Qualitativa Nominal</t>
  </si>
  <si>
    <t>Quantitativa Discreta</t>
  </si>
  <si>
    <t>Quantitativa Contínua</t>
  </si>
  <si>
    <t>Total Geral</t>
  </si>
  <si>
    <t>Soma de Receita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</si>
  <si>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</si>
  <si>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</si>
  <si>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</si>
  <si>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</si>
  <si>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</si>
  <si>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</si>
  <si>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</si>
  <si>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</si>
  <si>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</si>
  <si>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</si>
  <si>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</si>
  <si>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</si>
  <si>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Faturamento</t>
  </si>
  <si>
    <t>Quantidade Total de Vendas</t>
  </si>
  <si>
    <t>Ticket Médio</t>
  </si>
  <si>
    <t>Período em Meses</t>
  </si>
  <si>
    <t>Evolução do Faturamento Mensal</t>
  </si>
  <si>
    <t>1 . O faturamento mensal atingiu seu pico em agosto (R$380.675,46), indicando possíveis influências de campanhas comerciais ou aumento pontual na demanda.</t>
  </si>
  <si>
    <t>2. Foram observadas quedas significativas em abril (R$ 90.114,66) e novembro (R$ 80.338,96), possivelmente relacionadas à fatores sazonais.</t>
  </si>
  <si>
    <t>Detalhes do Soma de Receita - Meses (Data):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</si>
</sst>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164" fontId="0" fillId="0" borderId="0" xfId="0" applyNumberFormat="1" applyFont="1"/>
  </cellXfs>
  <cellStyles count="1">
    <cellStyle name="Normal" xfId="0" builtinId="0"/>
  </cellStyles>
  <dxfs count="28">
    <dxf>
      <numFmt numFmtId="19" formatCode="dd/mm/yyyy"/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[dados_tratados.xlsx]Análises!Tabela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Evolução do Faturamento</a:t>
            </a:r>
            <a:r>
              <a:rPr lang="en-US" b="1" baseline="0"/>
              <a:t> Mensal em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Análises!$C$8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Análises!$B$9:$B$21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Análises!$C$9:$C$21</c:f>
              <c:numCache>
                <c:formatCode>"R$"\ #,##0.00</c:formatCode>
                <c:ptCount val="12"/>
                <c:pt idx="0">
                  <c:v>199573.19000000003</c:v>
                </c:pt>
                <c:pt idx="1">
                  <c:v>169251.27</c:v>
                </c:pt>
                <c:pt idx="2">
                  <c:v>163357.34999999998</c:v>
                </c:pt>
                <c:pt idx="3">
                  <c:v>90114.66</c:v>
                </c:pt>
                <c:pt idx="4">
                  <c:v>160544.88999999998</c:v>
                </c:pt>
                <c:pt idx="5">
                  <c:v>232438.85</c:v>
                </c:pt>
                <c:pt idx="6">
                  <c:v>207404.83999999997</c:v>
                </c:pt>
                <c:pt idx="7">
                  <c:v>380675.46000000008</c:v>
                </c:pt>
                <c:pt idx="8">
                  <c:v>226648.61999999997</c:v>
                </c:pt>
                <c:pt idx="9">
                  <c:v>203737.89</c:v>
                </c:pt>
                <c:pt idx="10">
                  <c:v>80338.960000000006</c:v>
                </c:pt>
                <c:pt idx="11">
                  <c:v>227617.42999999996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E-42F1-8882-BBA3ED65D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569663"/>
        <c:axId val="1395571583"/>
      </c:lineChart>
      <c:catAx>
        <c:axId val="139556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5571583"/>
        <c:crosses val="autoZero"/>
        <c:auto val="1"/>
        <c:lblAlgn val="ctr"/>
        <c:lblOffset val="100"/>
        <c:noMultiLvlLbl val="0"/>
      </c:catAx>
      <c:valAx>
        <c:axId val="13955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5569663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1333500</xdr:colOff>
      <xdr:row>0</xdr:row>
      <xdr:rowOff>104775</xdr:rowOff>
    </xdr:from>
    <xdr:ext cx="5961055" cy="561949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DBD9E55-50C6-46FD-B78B-E40DC7E6EF20}"/>
            </a:ext>
          </a:extLst>
        </xdr:cNvPr>
        <xdr:cNvSpPr txBox="1"/>
      </xdr:nvSpPr>
      <xdr:spPr>
        <a:xfrm>
          <a:off x="1333500" y="104775"/>
          <a:ext cx="5961055" cy="561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3000" b="1"/>
            <a:t>Análise Exploratória de Dados (EDA)</a:t>
          </a:r>
        </a:p>
      </xdr:txBody>
    </xdr:sp>
    <xdr:clientData/>
  </xdr:oneCellAnchor>
  <xdr:twoCellAnchor>
    <xdr:from>
      <xdr:col>4</xdr:col>
      <xdr:colOff>539</xdr:colOff>
      <xdr:row>6</xdr:row>
      <xdr:rowOff>184479</xdr:rowOff>
    </xdr:from>
    <xdr:to>
      <xdr:col>10</xdr:col>
      <xdr:colOff>359973</xdr:colOff>
      <xdr:row>25</xdr:row>
      <xdr:rowOff>539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5743C49-45B4-A0A6-ECB9-17A95C2F7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ke Mendes" refreshedDate="46140.468521990741" createdVersion="8" refreshedVersion="8" minRefreshableVersion="3" recordCount="120" xr:uid="{8187D5FB-0263-4B3A-9165-3C5B41DB815C}">
  <cacheSource type="worksheet">
    <worksheetSource ref="A2:G122" sheet="Dados Tratados"/>
  </cacheSource>
  <cacheFields count="9">
    <cacheField name="Data" numFmtId="14">
      <sharedItems containsSemiMixedTypes="0" containsNonDate="0" containsDate="1" containsString="0" minDate="2023-01-06T00:00:00" maxDate="2024-01-01T00:00:00" count="105">
        <d v="2023-01-06T00:00:00"/>
        <d v="2023-01-07T00:00:00"/>
        <d v="2023-01-11T00:00:00"/>
        <d v="2023-01-12T00:00:00"/>
        <d v="2023-01-17T00:00:00"/>
        <d v="2023-01-18T00:00:00"/>
        <d v="2023-01-21T00:00:00"/>
        <d v="2023-01-28T00:00:00"/>
        <d v="2023-02-02T00:00:00"/>
        <d v="2023-02-09T00:00:00"/>
        <d v="2023-02-10T00:00:00"/>
        <d v="2023-02-14T00:00:00"/>
        <d v="2023-02-16T00:00:00"/>
        <d v="2023-02-18T00:00:00"/>
        <d v="2023-02-20T00:00:00"/>
        <d v="2023-02-22T00:00:00"/>
        <d v="2023-02-23T00:00:00"/>
        <d v="2023-02-24T00:00:00"/>
        <d v="2023-02-26T00:00:00"/>
        <d v="2023-03-01T00:00:00"/>
        <d v="2023-03-05T00:00:00"/>
        <d v="2023-03-12T00:00:00"/>
        <d v="2023-03-14T00:00:00"/>
        <d v="2023-03-27T00:00:00"/>
        <d v="2023-03-31T00:00:00"/>
        <d v="2023-04-04T00:00:00"/>
        <d v="2023-04-11T00:00:00"/>
        <d v="2023-04-13T00:00:00"/>
        <d v="2023-04-20T00:00:00"/>
        <d v="2023-04-21T00:00:00"/>
        <d v="2023-04-24T00:00:00"/>
        <d v="2023-04-25T00:00:00"/>
        <d v="2023-05-01T00:00:00"/>
        <d v="2023-05-12T00:00:00"/>
        <d v="2023-05-16T00:00:00"/>
        <d v="2023-05-19T00:00:00"/>
        <d v="2023-05-22T00:00:00"/>
        <d v="2023-05-23T00:00:00"/>
        <d v="2023-05-24T00:00:00"/>
        <d v="2023-05-26T00:00:00"/>
        <d v="2023-05-27T00:00:00"/>
        <d v="2023-06-03T00:00:00"/>
        <d v="2023-06-04T00:00:00"/>
        <d v="2023-06-05T00:00:00"/>
        <d v="2023-06-09T00:00:00"/>
        <d v="2023-06-14T00:00:00"/>
        <d v="2023-06-16T00:00:00"/>
        <d v="2023-06-20T00:00:00"/>
        <d v="2023-06-24T00:00:00"/>
        <d v="2023-06-29T00:00:00"/>
        <d v="2023-07-04T00:00:00"/>
        <d v="2023-07-07T00:00:00"/>
        <d v="2023-07-10T00:00:00"/>
        <d v="2023-07-14T00:00:00"/>
        <d v="2023-07-21T00:00:00"/>
        <d v="2023-07-24T00:00:00"/>
        <d v="2023-07-25T00:00:00"/>
        <d v="2023-07-26T00:00:00"/>
        <d v="2023-08-02T00:00:00"/>
        <d v="2023-08-03T00:00:00"/>
        <d v="2023-08-06T00:00:00"/>
        <d v="2023-08-07T00:00:00"/>
        <d v="2023-08-08T00:00:00"/>
        <d v="2023-08-14T00:00:00"/>
        <d v="2023-08-16T00:00:00"/>
        <d v="2023-08-17T00:00:00"/>
        <d v="2023-08-23T00:00:00"/>
        <d v="2023-08-31T00:00:00"/>
        <d v="2023-09-04T00:00:00"/>
        <d v="2023-09-06T00:00:00"/>
        <d v="2023-09-08T00:00:00"/>
        <d v="2023-09-13T00:00:00"/>
        <d v="2023-09-18T00:00:00"/>
        <d v="2023-09-19T00:00:00"/>
        <d v="2023-09-25T00:00:00"/>
        <d v="2023-09-26T00:00:00"/>
        <d v="2023-09-27T00:00:00"/>
        <d v="2023-10-06T00:00:00"/>
        <d v="2023-10-08T00:00:00"/>
        <d v="2023-10-12T00:00:00"/>
        <d v="2023-10-14T00:00:00"/>
        <d v="2023-10-19T00:00:00"/>
        <d v="2023-10-20T00:00:00"/>
        <d v="2023-10-26T00:00:00"/>
        <d v="2023-10-27T00:00:00"/>
        <d v="2023-10-29T00:00:00"/>
        <d v="2023-11-04T00:00:00"/>
        <d v="2023-11-18T00:00:00"/>
        <d v="2023-11-20T00:00:00"/>
        <d v="2023-11-21T00:00:00"/>
        <d v="2023-11-23T00:00:00"/>
        <d v="2023-12-01T00:00:00"/>
        <d v="2023-12-03T00:00:00"/>
        <d v="2023-12-04T00:00:00"/>
        <d v="2023-12-06T00:00:00"/>
        <d v="2023-12-08T00:00:00"/>
        <d v="2023-12-11T00:00:00"/>
        <d v="2023-12-13T00:00:00"/>
        <d v="2023-12-14T00:00:00"/>
        <d v="2023-12-16T00:00:00"/>
        <d v="2023-12-20T00:00:00"/>
        <d v="2023-12-24T00:00:00"/>
        <d v="2023-12-26T00:00:00"/>
        <d v="2023-12-28T00:00:00"/>
        <d v="2023-12-31T00:00:00"/>
      </sharedItems>
      <fieldGroup par="8"/>
    </cacheField>
    <cacheField name="Produto" numFmtId="0">
      <sharedItems/>
    </cacheField>
    <cacheField name="Região" numFmtId="0">
      <sharedItems/>
    </cacheField>
    <cacheField name="Vendedor" numFmtId="0">
      <sharedItems/>
    </cacheField>
    <cacheField name="Quantidade" numFmtId="1">
      <sharedItems containsSemiMixedTypes="0" containsString="0" containsNumber="1" containsInteger="1" minValue="1" maxValue="20"/>
    </cacheField>
    <cacheField name="Preço Unitário" numFmtId="164">
      <sharedItems containsSemiMixedTypes="0" containsString="0" containsNumber="1" minValue="90.35" maxValue="4961.6000000000004"/>
    </cacheField>
    <cacheField name="Receita" numFmtId="164">
      <sharedItems containsSemiMixedTypes="0" containsString="0" containsNumber="1" minValue="180.7" maxValue="74634.590000000011"/>
    </cacheField>
    <cacheField name="Dias (Data)" numFmtId="0" databaseField="0">
      <fieldGroup base="0">
        <rangePr groupBy="days" startDate="2023-01-06T00:00:00" endDate="2024-01-01T00:00:00"/>
        <groupItems count="368">
          <s v="&lt;06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4"/>
        </groupItems>
      </fieldGroup>
    </cacheField>
    <cacheField name="Meses (Data)" numFmtId="0" databaseField="0">
      <fieldGroup base="0">
        <rangePr groupBy="months" startDate="2023-01-06T00:00:00" endDate="2024-01-01T00:00:00"/>
        <groupItems count="14">
          <s v="&lt;06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Monitor"/>
    <s v="Sul"/>
    <s v="Ana"/>
    <n v="20"/>
    <n v="827.4"/>
    <n v="16548"/>
  </r>
  <r>
    <x v="1"/>
    <s v="Monitor"/>
    <s v="Norte"/>
    <s v="Bruno"/>
    <n v="1"/>
    <n v="758.5"/>
    <n v="758.5"/>
  </r>
  <r>
    <x v="2"/>
    <s v="Notebook"/>
    <s v="Nordeste"/>
    <s v="Daniela"/>
    <n v="11"/>
    <n v="2905.81"/>
    <n v="31963.91"/>
  </r>
  <r>
    <x v="3"/>
    <s v="Notebook"/>
    <s v="Centro-Oeste"/>
    <s v="Eduardo"/>
    <n v="6"/>
    <n v="1855.07"/>
    <n v="11130.42"/>
  </r>
  <r>
    <x v="4"/>
    <s v="Headset"/>
    <s v="Sul"/>
    <s v="Bruno"/>
    <n v="7"/>
    <n v="760.94"/>
    <n v="5326.58"/>
  </r>
  <r>
    <x v="5"/>
    <s v="Headset"/>
    <s v="Nordeste"/>
    <s v="Bruno"/>
    <n v="14"/>
    <n v="2505.5500000000002"/>
    <n v="35077.700000000004"/>
  </r>
  <r>
    <x v="6"/>
    <s v="Notebook"/>
    <s v="Sul"/>
    <s v="Bruno"/>
    <n v="8"/>
    <n v="4499.49"/>
    <n v="35995.919999999998"/>
  </r>
  <r>
    <x v="7"/>
    <s v="Headset"/>
    <s v="Sudeste"/>
    <s v="Bruno"/>
    <n v="16"/>
    <n v="3923.26"/>
    <n v="62772.160000000003"/>
  </r>
  <r>
    <x v="8"/>
    <s v="Teclado"/>
    <s v="Norte"/>
    <s v="Daniela"/>
    <n v="15"/>
    <n v="295.97000000000003"/>
    <n v="4439.55"/>
  </r>
  <r>
    <x v="8"/>
    <s v="Mouse"/>
    <s v="Sudeste"/>
    <s v="Ana"/>
    <n v="2"/>
    <n v="2136.39"/>
    <n v="4272.78"/>
  </r>
  <r>
    <x v="9"/>
    <s v="Notebook"/>
    <s v="Sul"/>
    <s v="Daniela"/>
    <n v="15"/>
    <n v="825.2"/>
    <n v="12378"/>
  </r>
  <r>
    <x v="10"/>
    <s v="Headset"/>
    <s v="Norte"/>
    <s v="Daniela"/>
    <n v="9"/>
    <n v="3629.92"/>
    <n v="32669.279999999999"/>
  </r>
  <r>
    <x v="11"/>
    <s v="Notebook"/>
    <s v="Nordeste"/>
    <s v="Ana"/>
    <n v="2"/>
    <n v="4836.45"/>
    <n v="9672.9"/>
  </r>
  <r>
    <x v="12"/>
    <s v="Teclado"/>
    <s v="Centro-Oeste"/>
    <s v="Ana"/>
    <n v="4"/>
    <n v="4615.97"/>
    <n v="18463.88"/>
  </r>
  <r>
    <x v="13"/>
    <s v="Teclado"/>
    <s v="Sul"/>
    <s v="Ana"/>
    <n v="10"/>
    <n v="2136.39"/>
    <n v="21363.899999999998"/>
  </r>
  <r>
    <x v="14"/>
    <s v="Monitor"/>
    <s v="Centro-Oeste"/>
    <s v="Bruno"/>
    <n v="7"/>
    <n v="573.21"/>
    <n v="4012.4700000000003"/>
  </r>
  <r>
    <x v="15"/>
    <s v="Teclado"/>
    <s v="Nordeste"/>
    <s v="Ana"/>
    <n v="10"/>
    <n v="1390.01"/>
    <n v="13900.1"/>
  </r>
  <r>
    <x v="16"/>
    <s v="Headset"/>
    <s v="Centro-Oeste"/>
    <s v="Carlos"/>
    <n v="14"/>
    <n v="1651.42"/>
    <n v="23119.88"/>
  </r>
  <r>
    <x v="17"/>
    <s v="Monitor"/>
    <s v="Nordeste"/>
    <s v="Bruno"/>
    <n v="6"/>
    <n v="2136.39"/>
    <n v="12818.34"/>
  </r>
  <r>
    <x v="18"/>
    <s v="Teclado"/>
    <s v="Centro-Oeste"/>
    <s v="Ana"/>
    <n v="9"/>
    <n v="1348.91"/>
    <n v="12140.19"/>
  </r>
  <r>
    <x v="19"/>
    <s v="Mouse"/>
    <s v="Sudeste"/>
    <s v="Eduardo"/>
    <n v="14"/>
    <n v="810.29"/>
    <n v="11344.06"/>
  </r>
  <r>
    <x v="20"/>
    <s v="Mouse"/>
    <s v="Nordeste"/>
    <s v="Bruno"/>
    <n v="3"/>
    <n v="303.69"/>
    <n v="911.06999999999994"/>
  </r>
  <r>
    <x v="21"/>
    <s v="Headset"/>
    <s v="Centro-Oeste"/>
    <s v="Carlos"/>
    <n v="16"/>
    <n v="2166.89"/>
    <n v="34670.239999999998"/>
  </r>
  <r>
    <x v="22"/>
    <s v="Notebook"/>
    <s v="Sudeste"/>
    <s v="Eduardo"/>
    <n v="17"/>
    <n v="3318.1"/>
    <n v="56407.7"/>
  </r>
  <r>
    <x v="23"/>
    <s v="Teclado"/>
    <s v="Norte"/>
    <s v="Eduardo"/>
    <n v="12"/>
    <n v="3624.34"/>
    <n v="43492.08"/>
  </r>
  <r>
    <x v="23"/>
    <s v="Mouse"/>
    <s v="Centro-Oeste"/>
    <s v="Daniela"/>
    <n v="4"/>
    <n v="1650.85"/>
    <n v="6603.4"/>
  </r>
  <r>
    <x v="24"/>
    <s v="Monitor"/>
    <s v="Sudeste"/>
    <s v="Carlos"/>
    <n v="12"/>
    <n v="827.4"/>
    <n v="9928.7999999999993"/>
  </r>
  <r>
    <x v="25"/>
    <s v="Mouse"/>
    <s v="Sul"/>
    <s v="Carlos"/>
    <n v="13"/>
    <n v="2643.65"/>
    <n v="34367.450000000004"/>
  </r>
  <r>
    <x v="26"/>
    <s v="Monitor"/>
    <s v="Nordeste"/>
    <s v="Ana"/>
    <n v="2"/>
    <n v="4513.8999999999996"/>
    <n v="9027.7999999999993"/>
  </r>
  <r>
    <x v="27"/>
    <s v="Headset"/>
    <s v="Centro-Oeste"/>
    <s v="Bruno"/>
    <n v="9"/>
    <n v="2787.97"/>
    <n v="25091.73"/>
  </r>
  <r>
    <x v="28"/>
    <s v="Monitor"/>
    <s v="Sudeste"/>
    <s v="Ana"/>
    <n v="7"/>
    <n v="347.03"/>
    <n v="2429.21"/>
  </r>
  <r>
    <x v="29"/>
    <s v="Headset"/>
    <s v="Nordeste"/>
    <s v="Ana"/>
    <n v="17"/>
    <n v="717.83"/>
    <n v="12203.11"/>
  </r>
  <r>
    <x v="30"/>
    <s v="Teclado"/>
    <s v="Sudeste"/>
    <s v="Ana"/>
    <n v="1"/>
    <n v="2505.5500000000002"/>
    <n v="2505.5500000000002"/>
  </r>
  <r>
    <x v="31"/>
    <s v="Notebook"/>
    <s v="Norte"/>
    <s v="Carlos"/>
    <n v="13"/>
    <n v="345.37"/>
    <n v="4489.8100000000004"/>
  </r>
  <r>
    <x v="32"/>
    <s v="Notebook"/>
    <s v="Norte"/>
    <s v="Carlos"/>
    <n v="7"/>
    <n v="3587.68"/>
    <n v="25113.759999999998"/>
  </r>
  <r>
    <x v="33"/>
    <s v="Notebook"/>
    <s v="Nordeste"/>
    <s v="Ana"/>
    <n v="7"/>
    <n v="130.11000000000001"/>
    <n v="910.7700000000001"/>
  </r>
  <r>
    <x v="34"/>
    <s v="Teclado"/>
    <s v="Centro-Oeste"/>
    <s v="Daniela"/>
    <n v="9"/>
    <n v="130.11000000000001"/>
    <n v="1170.9900000000002"/>
  </r>
  <r>
    <x v="35"/>
    <s v="Headset"/>
    <s v="Sul"/>
    <s v="Ana"/>
    <n v="3"/>
    <n v="3596.45"/>
    <n v="10789.349999999999"/>
  </r>
  <r>
    <x v="36"/>
    <s v="Teclado"/>
    <s v="Centro-Oeste"/>
    <s v="Carlos"/>
    <n v="1"/>
    <n v="3908.7"/>
    <n v="3908.7"/>
  </r>
  <r>
    <x v="37"/>
    <s v="Monitor"/>
    <s v="Centro-Oeste"/>
    <s v="Ana"/>
    <n v="13"/>
    <n v="1882.81"/>
    <n v="24476.53"/>
  </r>
  <r>
    <x v="38"/>
    <s v="Headset"/>
    <s v="Sudeste"/>
    <s v="Bruno"/>
    <n v="9"/>
    <n v="2136.39"/>
    <n v="19227.509999999998"/>
  </r>
  <r>
    <x v="39"/>
    <s v="Headset"/>
    <s v="Centro-Oeste"/>
    <s v="Ana"/>
    <n v="8"/>
    <n v="482.06"/>
    <n v="3856.48"/>
  </r>
  <r>
    <x v="40"/>
    <s v="Monitor"/>
    <s v="Norte"/>
    <s v="Daniela"/>
    <n v="20"/>
    <n v="3554.54"/>
    <n v="71090.8"/>
  </r>
  <r>
    <x v="41"/>
    <s v="Teclado"/>
    <s v="Centro-Oeste"/>
    <s v="Carlos"/>
    <n v="6"/>
    <n v="2049.16"/>
    <n v="12294.96"/>
  </r>
  <r>
    <x v="42"/>
    <s v="Monitor"/>
    <s v="Centro-Oeste"/>
    <s v="Eduardo"/>
    <n v="2"/>
    <n v="1168.19"/>
    <n v="2336.38"/>
  </r>
  <r>
    <x v="43"/>
    <s v="Notebook"/>
    <s v="Norte"/>
    <s v="Ana"/>
    <n v="10"/>
    <n v="3923.26"/>
    <n v="39232.600000000006"/>
  </r>
  <r>
    <x v="44"/>
    <s v="Teclado"/>
    <s v="Sul"/>
    <s v="Daniela"/>
    <n v="3"/>
    <n v="4513.8999999999996"/>
    <n v="13541.699999999999"/>
  </r>
  <r>
    <x v="45"/>
    <s v="Notebook"/>
    <s v="Sudeste"/>
    <s v="Daniela"/>
    <n v="14"/>
    <n v="1401.69"/>
    <n v="19623.66"/>
  </r>
  <r>
    <x v="45"/>
    <s v="Teclado"/>
    <s v="Nordeste"/>
    <s v="Carlos"/>
    <n v="10"/>
    <n v="807.99"/>
    <n v="8079.9"/>
  </r>
  <r>
    <x v="45"/>
    <s v="Mouse"/>
    <s v="Norte"/>
    <s v="Daniela"/>
    <n v="10"/>
    <n v="2016.18"/>
    <n v="20161.8"/>
  </r>
  <r>
    <x v="46"/>
    <s v="Teclado"/>
    <s v="Sul"/>
    <s v="Ana"/>
    <n v="20"/>
    <n v="2505.5500000000002"/>
    <n v="50111"/>
  </r>
  <r>
    <x v="47"/>
    <s v="Mouse"/>
    <s v="Sul"/>
    <s v="Ana"/>
    <n v="3"/>
    <n v="573.21"/>
    <n v="1719.63"/>
  </r>
  <r>
    <x v="48"/>
    <s v="Headset"/>
    <s v="Nordeste"/>
    <s v="Bruno"/>
    <n v="8"/>
    <n v="4961.6000000000004"/>
    <n v="39692.800000000003"/>
  </r>
  <r>
    <x v="49"/>
    <s v="Headset"/>
    <s v="Centro-Oeste"/>
    <s v="Ana"/>
    <n v="18"/>
    <n v="1424.69"/>
    <n v="25644.420000000002"/>
  </r>
  <r>
    <x v="50"/>
    <s v="Teclado"/>
    <s v="Sudeste"/>
    <s v="Daniela"/>
    <n v="7"/>
    <n v="2873.97"/>
    <n v="20117.789999999997"/>
  </r>
  <r>
    <x v="50"/>
    <s v="Teclado"/>
    <s v="Norte"/>
    <s v="Bruno"/>
    <n v="10"/>
    <n v="2275.71"/>
    <n v="22757.1"/>
  </r>
  <r>
    <x v="51"/>
    <s v="Headset"/>
    <s v="Sudeste"/>
    <s v="Ana"/>
    <n v="8"/>
    <n v="4913.28"/>
    <n v="39306.239999999998"/>
  </r>
  <r>
    <x v="52"/>
    <s v="Headset"/>
    <s v="Centro-Oeste"/>
    <s v="Daniela"/>
    <n v="11"/>
    <n v="1650.85"/>
    <n v="18159.349999999999"/>
  </r>
  <r>
    <x v="53"/>
    <s v="Notebook"/>
    <s v="Sudeste"/>
    <s v="Eduardo"/>
    <n v="17"/>
    <n v="2415.0700000000002"/>
    <n v="41056.19"/>
  </r>
  <r>
    <x v="54"/>
    <s v="Mouse"/>
    <s v="Norte"/>
    <s v="Ana"/>
    <n v="20"/>
    <n v="1882.81"/>
    <n v="37656.199999999997"/>
  </r>
  <r>
    <x v="55"/>
    <s v="Notebook"/>
    <s v="Sudeste"/>
    <s v="Ana"/>
    <n v="5"/>
    <n v="4332.25"/>
    <n v="21661.25"/>
  </r>
  <r>
    <x v="56"/>
    <s v="Teclado"/>
    <s v="Sul"/>
    <s v="Eduardo"/>
    <n v="7"/>
    <n v="130.11000000000001"/>
    <n v="910.7700000000001"/>
  </r>
  <r>
    <x v="57"/>
    <s v="Mouse"/>
    <s v="Sudeste"/>
    <s v="Daniela"/>
    <n v="3"/>
    <n v="1650.85"/>
    <n v="4952.5499999999993"/>
  </r>
  <r>
    <x v="57"/>
    <s v="Monitor"/>
    <s v="Nordeste"/>
    <s v="Carlos"/>
    <n v="1"/>
    <n v="827.4"/>
    <n v="827.4"/>
  </r>
  <r>
    <x v="58"/>
    <s v="Notebook"/>
    <s v="Nordeste"/>
    <s v="Eduardo"/>
    <n v="18"/>
    <n v="2505.5500000000002"/>
    <n v="45099.9"/>
  </r>
  <r>
    <x v="58"/>
    <s v="Notebook"/>
    <s v="Centro-Oeste"/>
    <s v="Daniela"/>
    <n v="14"/>
    <n v="807.99"/>
    <n v="11311.86"/>
  </r>
  <r>
    <x v="59"/>
    <s v="Monitor"/>
    <s v="Norte"/>
    <s v="Eduardo"/>
    <n v="14"/>
    <n v="3139.25"/>
    <n v="43949.5"/>
  </r>
  <r>
    <x v="60"/>
    <s v="Mouse"/>
    <s v="Sul"/>
    <s v="Eduardo"/>
    <n v="17"/>
    <n v="573.21"/>
    <n v="9744.57"/>
  </r>
  <r>
    <x v="61"/>
    <s v="Headset"/>
    <s v="Nordeste"/>
    <s v="Daniela"/>
    <n v="3"/>
    <n v="1650.85"/>
    <n v="4952.5499999999993"/>
  </r>
  <r>
    <x v="62"/>
    <s v="Mouse"/>
    <s v="Nordeste"/>
    <s v="Eduardo"/>
    <n v="16"/>
    <n v="1211.28"/>
    <n v="19380.48"/>
  </r>
  <r>
    <x v="63"/>
    <s v="Notebook"/>
    <s v="Nordeste"/>
    <s v="Ana"/>
    <n v="11"/>
    <n v="295.97000000000003"/>
    <n v="3255.67"/>
  </r>
  <r>
    <x v="64"/>
    <s v="Teclado"/>
    <s v="Nordeste"/>
    <s v="Ana"/>
    <n v="17"/>
    <n v="4390.2700000000004"/>
    <n v="74634.590000000011"/>
  </r>
  <r>
    <x v="65"/>
    <s v="Notebook"/>
    <s v="Nordeste"/>
    <s v="Bruno"/>
    <n v="20"/>
    <n v="2643.65"/>
    <n v="52873"/>
  </r>
  <r>
    <x v="66"/>
    <s v="Headset"/>
    <s v="Sudeste"/>
    <s v="Daniela"/>
    <n v="16"/>
    <n v="4615.97"/>
    <n v="73855.520000000004"/>
  </r>
  <r>
    <x v="67"/>
    <s v="Teclado"/>
    <s v="Sudeste"/>
    <s v="Bruno"/>
    <n v="6"/>
    <n v="3908.7"/>
    <n v="23452.199999999997"/>
  </r>
  <r>
    <x v="67"/>
    <s v="Notebook"/>
    <s v="Sudeste"/>
    <s v="Bruno"/>
    <n v="11"/>
    <n v="1651.42"/>
    <n v="18165.620000000003"/>
  </r>
  <r>
    <x v="68"/>
    <s v="Headset"/>
    <s v="Centro-Oeste"/>
    <s v="Eduardo"/>
    <n v="5"/>
    <n v="3110.71"/>
    <n v="15553.55"/>
  </r>
  <r>
    <x v="69"/>
    <s v="Notebook"/>
    <s v="Centro-Oeste"/>
    <s v="Carlos"/>
    <n v="4"/>
    <n v="1168.19"/>
    <n v="4672.76"/>
  </r>
  <r>
    <x v="70"/>
    <s v="Teclado"/>
    <s v="Centro-Oeste"/>
    <s v="Carlos"/>
    <n v="19"/>
    <n v="2239.29"/>
    <n v="42546.51"/>
  </r>
  <r>
    <x v="71"/>
    <s v="Monitor"/>
    <s v="Sul"/>
    <s v="Carlos"/>
    <n v="8"/>
    <n v="3822.16"/>
    <n v="30577.279999999999"/>
  </r>
  <r>
    <x v="71"/>
    <s v="Teclado"/>
    <s v="Norte"/>
    <s v="Daniela"/>
    <n v="5"/>
    <n v="1168.19"/>
    <n v="5840.9500000000007"/>
  </r>
  <r>
    <x v="72"/>
    <s v="Notebook"/>
    <s v="Centro-Oeste"/>
    <s v="Daniela"/>
    <n v="14"/>
    <n v="4513.8999999999996"/>
    <n v="63194.599999999991"/>
  </r>
  <r>
    <x v="73"/>
    <s v="Notebook"/>
    <s v="Nordeste"/>
    <s v="Ana"/>
    <n v="8"/>
    <n v="2077.83"/>
    <n v="16622.64"/>
  </r>
  <r>
    <x v="73"/>
    <s v="Teclado"/>
    <s v="Sul"/>
    <s v="Carlos"/>
    <n v="3"/>
    <n v="4587.28"/>
    <n v="13761.84"/>
  </r>
  <r>
    <x v="74"/>
    <s v="Notebook"/>
    <s v="Norte"/>
    <s v="Bruno"/>
    <n v="2"/>
    <n v="90.35"/>
    <n v="180.7"/>
  </r>
  <r>
    <x v="75"/>
    <s v="Mouse"/>
    <s v="Norte"/>
    <s v="Ana"/>
    <n v="13"/>
    <n v="550.23"/>
    <n v="7152.99"/>
  </r>
  <r>
    <x v="76"/>
    <s v="Teclado"/>
    <s v="Sudeste"/>
    <s v="Carlos"/>
    <n v="8"/>
    <n v="3318.1"/>
    <n v="26544.799999999999"/>
  </r>
  <r>
    <x v="77"/>
    <s v="Notebook"/>
    <s v="Nordeste"/>
    <s v="Daniela"/>
    <n v="18"/>
    <n v="2450.65"/>
    <n v="44111.700000000004"/>
  </r>
  <r>
    <x v="78"/>
    <s v="Teclado"/>
    <s v="Nordeste"/>
    <s v="Bruno"/>
    <n v="16"/>
    <n v="1168.19"/>
    <n v="18691.04"/>
  </r>
  <r>
    <x v="78"/>
    <s v="Teclado"/>
    <s v="Nordeste"/>
    <s v="Daniela"/>
    <n v="9"/>
    <n v="1650.85"/>
    <n v="14857.65"/>
  </r>
  <r>
    <x v="79"/>
    <s v="Notebook"/>
    <s v="Centro-Oeste"/>
    <s v="Daniela"/>
    <n v="5"/>
    <n v="1168.19"/>
    <n v="5840.9500000000007"/>
  </r>
  <r>
    <x v="80"/>
    <s v="Notebook"/>
    <s v="Centro-Oeste"/>
    <s v="Carlos"/>
    <n v="5"/>
    <n v="573.21"/>
    <n v="2866.05"/>
  </r>
  <r>
    <x v="81"/>
    <s v="Notebook"/>
    <s v="Centro-Oeste"/>
    <s v="Carlos"/>
    <n v="6"/>
    <n v="3587.68"/>
    <n v="21526.079999999998"/>
  </r>
  <r>
    <x v="81"/>
    <s v="Teclado"/>
    <s v="Norte"/>
    <s v="Daniela"/>
    <n v="17"/>
    <n v="2016.18"/>
    <n v="34275.06"/>
  </r>
  <r>
    <x v="82"/>
    <s v="Mouse"/>
    <s v="Nordeste"/>
    <s v="Bruno"/>
    <n v="2"/>
    <n v="4499.49"/>
    <n v="8998.98"/>
  </r>
  <r>
    <x v="83"/>
    <s v="Teclado"/>
    <s v="Sul"/>
    <s v="Eduardo"/>
    <n v="11"/>
    <n v="2465.4499999999998"/>
    <n v="27119.949999999997"/>
  </r>
  <r>
    <x v="84"/>
    <s v="Teclado"/>
    <s v="Sul"/>
    <s v="Ana"/>
    <n v="14"/>
    <n v="313.20999999999998"/>
    <n v="4384.9399999999996"/>
  </r>
  <r>
    <x v="85"/>
    <s v="Monitor"/>
    <s v="Nordeste"/>
    <s v="Carlos"/>
    <n v="19"/>
    <n v="1108.71"/>
    <n v="21065.49"/>
  </r>
  <r>
    <x v="86"/>
    <s v="Notebook"/>
    <s v="Centro-Oeste"/>
    <s v="Bruno"/>
    <n v="17"/>
    <n v="179.65"/>
    <n v="3054.05"/>
  </r>
  <r>
    <x v="87"/>
    <s v="Headset"/>
    <s v="Centro-Oeste"/>
    <s v="Bruno"/>
    <n v="15"/>
    <n v="1651.42"/>
    <n v="24771.300000000003"/>
  </r>
  <r>
    <x v="88"/>
    <s v="Teclado"/>
    <s v="Centro-Oeste"/>
    <s v="Ana"/>
    <n v="2"/>
    <n v="827.4"/>
    <n v="1654.8"/>
  </r>
  <r>
    <x v="88"/>
    <s v="Mouse"/>
    <s v="Sul"/>
    <s v="Eduardo"/>
    <n v="11"/>
    <n v="702.91"/>
    <n v="7732.0099999999993"/>
  </r>
  <r>
    <x v="89"/>
    <s v="Monitor"/>
    <s v="Norte"/>
    <s v="Daniela"/>
    <n v="12"/>
    <n v="3318.1"/>
    <n v="39817.199999999997"/>
  </r>
  <r>
    <x v="90"/>
    <s v="Teclado"/>
    <s v="Sudeste"/>
    <s v="Ana"/>
    <n v="4"/>
    <n v="827.4"/>
    <n v="3309.6"/>
  </r>
  <r>
    <x v="91"/>
    <s v="Teclado"/>
    <s v="Sudeste"/>
    <s v="Carlos"/>
    <n v="5"/>
    <n v="4499.49"/>
    <n v="22497.449999999997"/>
  </r>
  <r>
    <x v="92"/>
    <s v="Headset"/>
    <s v="Norte"/>
    <s v="Carlos"/>
    <n v="6"/>
    <n v="3218.22"/>
    <n v="19309.32"/>
  </r>
  <r>
    <x v="93"/>
    <s v="Teclado"/>
    <s v="Norte"/>
    <s v="Eduardo"/>
    <n v="12"/>
    <n v="1417.08"/>
    <n v="17004.96"/>
  </r>
  <r>
    <x v="94"/>
    <s v="Headset"/>
    <s v="Sudeste"/>
    <s v="Carlos"/>
    <n v="1"/>
    <n v="573.21"/>
    <n v="573.21"/>
  </r>
  <r>
    <x v="94"/>
    <s v="Notebook"/>
    <s v="Nordeste"/>
    <s v="Carlos"/>
    <n v="15"/>
    <n v="573.21"/>
    <n v="8598.1500000000015"/>
  </r>
  <r>
    <x v="95"/>
    <s v="Notebook"/>
    <s v="Sul"/>
    <s v="Ana"/>
    <n v="19"/>
    <n v="2136.39"/>
    <n v="40591.409999999996"/>
  </r>
  <r>
    <x v="96"/>
    <s v="Headset"/>
    <s v="Sudeste"/>
    <s v="Ana"/>
    <n v="8"/>
    <n v="1966.9"/>
    <n v="15735.2"/>
  </r>
  <r>
    <x v="97"/>
    <s v="Headset"/>
    <s v="Norte"/>
    <s v="Bruno"/>
    <n v="16"/>
    <n v="1651.42"/>
    <n v="26422.720000000001"/>
  </r>
  <r>
    <x v="98"/>
    <s v="Headset"/>
    <s v="Nordeste"/>
    <s v="Bruno"/>
    <n v="17"/>
    <n v="827.4"/>
    <n v="14065.8"/>
  </r>
  <r>
    <x v="99"/>
    <s v="Teclado"/>
    <s v="Centro-Oeste"/>
    <s v="Ana"/>
    <n v="3"/>
    <n v="2649.97"/>
    <n v="7949.91"/>
  </r>
  <r>
    <x v="100"/>
    <s v="Mouse"/>
    <s v="Centro-Oeste"/>
    <s v="Bruno"/>
    <n v="9"/>
    <n v="3523.1"/>
    <n v="31707.899999999998"/>
  </r>
  <r>
    <x v="100"/>
    <s v="Teclado"/>
    <s v="Centro-Oeste"/>
    <s v="Daniela"/>
    <n v="3"/>
    <n v="1650.85"/>
    <n v="4952.5499999999993"/>
  </r>
  <r>
    <x v="101"/>
    <s v="Monitor"/>
    <s v="Norte"/>
    <s v="Ana"/>
    <n v="5"/>
    <n v="670.54"/>
    <n v="3352.7"/>
  </r>
  <r>
    <x v="102"/>
    <s v="Mouse"/>
    <s v="Sudeste"/>
    <s v="Carlos"/>
    <n v="1"/>
    <n v="4499.49"/>
    <n v="4499.49"/>
  </r>
  <r>
    <x v="103"/>
    <s v="Headset"/>
    <s v="Centro-Oeste"/>
    <s v="Carlos"/>
    <n v="19"/>
    <n v="380.24"/>
    <n v="7224.56"/>
  </r>
  <r>
    <x v="104"/>
    <s v="Monitor"/>
    <s v="Centro-Oeste"/>
    <s v="Ana"/>
    <n v="10"/>
    <n v="313.20999999999998"/>
    <n v="3132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49CAC-622A-4C96-9AD2-8FB8047D97D3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eríodo em Meses">
  <location ref="B8:C21" firstHeaderRow="1" firstDataRow="1" firstDataCol="1"/>
  <pivotFields count="9">
    <pivotField axis="axisRow" numFmtId="14" showAl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showAll="0"/>
    <pivotField showAll="0"/>
    <pivotField showAll="0"/>
    <pivotField numFmtId="1" showAll="0"/>
    <pivotField numFmtId="164" showAll="0"/>
    <pivotField dataField="1"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Receita" fld="6" baseField="0" baseItem="0" numFmtId="164"/>
  </dataFields>
  <formats count="14">
    <format dxfId="27">
      <pivotArea field="8" type="button" dataOnly="0" labelOnly="1" outline="0" axis="axisRow" fieldPosition="0"/>
    </format>
    <format dxfId="26">
      <pivotArea dataOnly="0" labelOnly="1" outline="0" axis="axisValues" fieldPosition="0"/>
    </format>
    <format dxfId="24">
      <pivotArea collapsedLevelsAreSubtotals="1" fieldPosition="0">
        <references count="1">
          <reference field="8" count="1">
            <x v="1"/>
          </reference>
        </references>
      </pivotArea>
    </format>
    <format dxfId="22">
      <pivotArea collapsedLevelsAreSubtotals="1" fieldPosition="0">
        <references count="1">
          <reference field="8" count="1">
            <x v="2"/>
          </reference>
        </references>
      </pivotArea>
    </format>
    <format dxfId="20">
      <pivotArea collapsedLevelsAreSubtotals="1" fieldPosition="0">
        <references count="1">
          <reference field="8" count="1">
            <x v="3"/>
          </reference>
        </references>
      </pivotArea>
    </format>
    <format dxfId="18">
      <pivotArea collapsedLevelsAreSubtotals="1" fieldPosition="0">
        <references count="1">
          <reference field="8" count="1">
            <x v="4"/>
          </reference>
        </references>
      </pivotArea>
    </format>
    <format dxfId="16">
      <pivotArea collapsedLevelsAreSubtotals="1" fieldPosition="0">
        <references count="1">
          <reference field="8" count="1">
            <x v="5"/>
          </reference>
        </references>
      </pivotArea>
    </format>
    <format dxfId="14">
      <pivotArea collapsedLevelsAreSubtotals="1" fieldPosition="0">
        <references count="1">
          <reference field="8" count="1">
            <x v="6"/>
          </reference>
        </references>
      </pivotArea>
    </format>
    <format dxfId="12">
      <pivotArea collapsedLevelsAreSubtotals="1" fieldPosition="0">
        <references count="1">
          <reference field="8" count="1">
            <x v="7"/>
          </reference>
        </references>
      </pivotArea>
    </format>
    <format dxfId="10">
      <pivotArea collapsedLevelsAreSubtotals="1" fieldPosition="0">
        <references count="1">
          <reference field="8" count="1">
            <x v="8"/>
          </reference>
        </references>
      </pivotArea>
    </format>
    <format dxfId="8">
      <pivotArea collapsedLevelsAreSubtotals="1" fieldPosition="0">
        <references count="1">
          <reference field="8" count="1">
            <x v="9"/>
          </reference>
        </references>
      </pivotArea>
    </format>
    <format dxfId="6">
      <pivotArea collapsedLevelsAreSubtotals="1" fieldPosition="0">
        <references count="1">
          <reference field="8" count="1">
            <x v="10"/>
          </reference>
        </references>
      </pivotArea>
    </format>
    <format dxfId="4">
      <pivotArea collapsedLevelsAreSubtotals="1" fieldPosition="0">
        <references count="1">
          <reference field="8" count="1">
            <x v="11"/>
          </reference>
        </references>
      </pivotArea>
    </format>
    <format dxfId="2">
      <pivotArea collapsedLevelsAreSubtotals="1" fieldPosition="0">
        <references count="1">
          <reference field="8" count="1">
            <x v="12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DC75E-31D2-4CE8-8832-F3B6414A414D}" name="Tabela1" displayName="Tabela1" ref="A3:G14" totalsRowShown="0">
  <autoFilter ref="A3:G14" xr:uid="{B48DC75E-31D2-4CE8-8832-F3B6414A414D}"/>
  <tableColumns count="7">
    <tableColumn id="1" xr3:uid="{8F263DA3-B4AA-4FC5-8D25-5E8A900EC0AA}" name="Data" dataDxfId="0"/>
    <tableColumn id="2" xr3:uid="{A54017AF-4388-4875-B62D-5100BEAF89A6}" name="Produto"/>
    <tableColumn id="3" xr3:uid="{A73FF01D-D171-4AB8-B5B6-6C7DBE5D854F}" name="Região"/>
    <tableColumn id="4" xr3:uid="{41F6B357-11B5-4542-BDA6-26F1631E5636}" name="Vendedor"/>
    <tableColumn id="5" xr3:uid="{B46023A8-1EDD-465D-A154-6B882610EA59}" name="Quantidade"/>
    <tableColumn id="6" xr3:uid="{C0E3DBF6-19EE-447E-95AB-7761F6843B93}" name="Preço Unitário"/>
    <tableColumn id="7" xr3:uid="{746F4173-60BF-4272-A071-867538FA3E6F}" name="Recei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"/>
  <sheetViews>
    <sheetView topLeftCell="A2" zoomScale="115" zoomScaleNormal="115" workbookViewId="0">
      <selection activeCell="A2" sqref="A2:G122"/>
    </sheetView>
  </sheetViews>
  <sheetFormatPr defaultRowHeight="15" x14ac:dyDescent="0.25"/>
  <cols>
    <col min="1" max="1" width="24.140625" customWidth="1"/>
    <col min="2" max="4" width="19" bestFit="1" customWidth="1"/>
    <col min="5" max="5" width="19.85546875" bestFit="1" customWidth="1"/>
    <col min="6" max="7" width="20.5703125" bestFit="1" customWidth="1"/>
    <col min="8" max="8" width="13.140625" bestFit="1" customWidth="1"/>
    <col min="9" max="9" width="11.28515625" bestFit="1" customWidth="1"/>
  </cols>
  <sheetData>
    <row r="1" spans="1:9" x14ac:dyDescent="0.25">
      <c r="A1" s="8" t="s">
        <v>22</v>
      </c>
      <c r="B1" s="8" t="s">
        <v>23</v>
      </c>
      <c r="C1" s="8" t="s">
        <v>23</v>
      </c>
      <c r="D1" s="8" t="s">
        <v>23</v>
      </c>
      <c r="E1" s="8" t="s">
        <v>24</v>
      </c>
      <c r="F1" s="8" t="s">
        <v>25</v>
      </c>
      <c r="G1" s="8" t="s">
        <v>25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4" t="s">
        <v>4</v>
      </c>
      <c r="F2" s="3" t="s">
        <v>5</v>
      </c>
      <c r="G2" s="2" t="s">
        <v>6</v>
      </c>
    </row>
    <row r="3" spans="1:9" x14ac:dyDescent="0.25">
      <c r="A3" s="1">
        <v>44932</v>
      </c>
      <c r="B3" t="s">
        <v>7</v>
      </c>
      <c r="C3" t="s">
        <v>18</v>
      </c>
      <c r="D3" t="s">
        <v>15</v>
      </c>
      <c r="E3" s="5">
        <v>20</v>
      </c>
      <c r="F3" s="6">
        <v>827.4</v>
      </c>
      <c r="G3" s="6">
        <f t="shared" ref="G3:G34" si="0">F3*E3</f>
        <v>16548</v>
      </c>
      <c r="I3" s="1"/>
    </row>
    <row r="4" spans="1:9" x14ac:dyDescent="0.25">
      <c r="A4" s="1">
        <v>44933</v>
      </c>
      <c r="B4" t="s">
        <v>7</v>
      </c>
      <c r="C4" t="s">
        <v>17</v>
      </c>
      <c r="D4" t="s">
        <v>14</v>
      </c>
      <c r="E4" s="5">
        <v>1</v>
      </c>
      <c r="F4" s="6">
        <v>758.5</v>
      </c>
      <c r="G4" s="6">
        <f t="shared" si="0"/>
        <v>758.5</v>
      </c>
      <c r="I4" s="1"/>
    </row>
    <row r="5" spans="1:9" x14ac:dyDescent="0.25">
      <c r="A5" s="1">
        <v>44937</v>
      </c>
      <c r="B5" t="s">
        <v>9</v>
      </c>
      <c r="C5" t="s">
        <v>21</v>
      </c>
      <c r="D5" t="s">
        <v>11</v>
      </c>
      <c r="E5" s="5">
        <v>11</v>
      </c>
      <c r="F5" s="6">
        <v>2905.81</v>
      </c>
      <c r="G5" s="6">
        <f t="shared" si="0"/>
        <v>31963.91</v>
      </c>
    </row>
    <row r="6" spans="1:9" x14ac:dyDescent="0.25">
      <c r="A6" s="1">
        <v>44938</v>
      </c>
      <c r="B6" t="s">
        <v>9</v>
      </c>
      <c r="C6" t="s">
        <v>20</v>
      </c>
      <c r="D6" t="s">
        <v>8</v>
      </c>
      <c r="E6" s="5">
        <v>6</v>
      </c>
      <c r="F6" s="6">
        <v>1855.07</v>
      </c>
      <c r="G6" s="6">
        <f t="shared" si="0"/>
        <v>11130.42</v>
      </c>
    </row>
    <row r="7" spans="1:9" x14ac:dyDescent="0.25">
      <c r="A7" s="1">
        <v>44943</v>
      </c>
      <c r="B7" t="s">
        <v>13</v>
      </c>
      <c r="C7" t="s">
        <v>18</v>
      </c>
      <c r="D7" t="s">
        <v>14</v>
      </c>
      <c r="E7" s="5">
        <v>7</v>
      </c>
      <c r="F7" s="6">
        <v>760.94</v>
      </c>
      <c r="G7" s="6">
        <f t="shared" si="0"/>
        <v>5326.58</v>
      </c>
    </row>
    <row r="8" spans="1:9" x14ac:dyDescent="0.25">
      <c r="A8" s="1">
        <v>44944</v>
      </c>
      <c r="B8" t="s">
        <v>13</v>
      </c>
      <c r="C8" t="s">
        <v>21</v>
      </c>
      <c r="D8" t="s">
        <v>14</v>
      </c>
      <c r="E8" s="5">
        <v>14</v>
      </c>
      <c r="F8" s="6">
        <v>2505.5500000000002</v>
      </c>
      <c r="G8" s="6">
        <f t="shared" si="0"/>
        <v>35077.700000000004</v>
      </c>
    </row>
    <row r="9" spans="1:9" x14ac:dyDescent="0.25">
      <c r="A9" s="1">
        <v>44947</v>
      </c>
      <c r="B9" t="s">
        <v>9</v>
      </c>
      <c r="C9" t="s">
        <v>18</v>
      </c>
      <c r="D9" t="s">
        <v>14</v>
      </c>
      <c r="E9" s="5">
        <v>8</v>
      </c>
      <c r="F9" s="6">
        <v>4499.49</v>
      </c>
      <c r="G9" s="6">
        <f t="shared" si="0"/>
        <v>35995.919999999998</v>
      </c>
    </row>
    <row r="10" spans="1:9" x14ac:dyDescent="0.25">
      <c r="A10" s="1">
        <v>44954</v>
      </c>
      <c r="B10" t="s">
        <v>13</v>
      </c>
      <c r="C10" t="s">
        <v>19</v>
      </c>
      <c r="D10" t="s">
        <v>14</v>
      </c>
      <c r="E10" s="5">
        <v>16</v>
      </c>
      <c r="F10" s="6">
        <v>3923.26</v>
      </c>
      <c r="G10" s="6">
        <f t="shared" si="0"/>
        <v>62772.160000000003</v>
      </c>
    </row>
    <row r="11" spans="1:9" x14ac:dyDescent="0.25">
      <c r="A11" s="1">
        <v>44959</v>
      </c>
      <c r="B11" t="s">
        <v>12</v>
      </c>
      <c r="C11" t="s">
        <v>17</v>
      </c>
      <c r="D11" t="s">
        <v>11</v>
      </c>
      <c r="E11" s="5">
        <v>15</v>
      </c>
      <c r="F11" s="6">
        <v>295.97000000000003</v>
      </c>
      <c r="G11" s="6">
        <f t="shared" si="0"/>
        <v>4439.55</v>
      </c>
    </row>
    <row r="12" spans="1:9" x14ac:dyDescent="0.25">
      <c r="A12" s="1">
        <v>44959</v>
      </c>
      <c r="B12" t="s">
        <v>16</v>
      </c>
      <c r="C12" t="s">
        <v>19</v>
      </c>
      <c r="D12" t="s">
        <v>15</v>
      </c>
      <c r="E12" s="5">
        <v>2</v>
      </c>
      <c r="F12" s="6">
        <v>2136.39</v>
      </c>
      <c r="G12" s="6">
        <f t="shared" si="0"/>
        <v>4272.78</v>
      </c>
    </row>
    <row r="13" spans="1:9" x14ac:dyDescent="0.25">
      <c r="A13" s="1">
        <v>44966</v>
      </c>
      <c r="B13" t="s">
        <v>9</v>
      </c>
      <c r="C13" t="s">
        <v>18</v>
      </c>
      <c r="D13" t="s">
        <v>11</v>
      </c>
      <c r="E13" s="5">
        <v>15</v>
      </c>
      <c r="F13" s="6">
        <v>825.2</v>
      </c>
      <c r="G13" s="6">
        <f t="shared" si="0"/>
        <v>12378</v>
      </c>
    </row>
    <row r="14" spans="1:9" x14ac:dyDescent="0.25">
      <c r="A14" s="1">
        <v>44967</v>
      </c>
      <c r="B14" t="s">
        <v>13</v>
      </c>
      <c r="C14" t="s">
        <v>17</v>
      </c>
      <c r="D14" t="s">
        <v>11</v>
      </c>
      <c r="E14" s="5">
        <v>9</v>
      </c>
      <c r="F14" s="6">
        <v>3629.92</v>
      </c>
      <c r="G14" s="6">
        <f t="shared" si="0"/>
        <v>32669.279999999999</v>
      </c>
    </row>
    <row r="15" spans="1:9" x14ac:dyDescent="0.25">
      <c r="A15" s="1">
        <v>44971</v>
      </c>
      <c r="B15" t="s">
        <v>9</v>
      </c>
      <c r="C15" t="s">
        <v>21</v>
      </c>
      <c r="D15" t="s">
        <v>15</v>
      </c>
      <c r="E15" s="5">
        <v>2</v>
      </c>
      <c r="F15" s="6">
        <v>4836.45</v>
      </c>
      <c r="G15" s="6">
        <f t="shared" si="0"/>
        <v>9672.9</v>
      </c>
    </row>
    <row r="16" spans="1:9" x14ac:dyDescent="0.25">
      <c r="A16" s="1">
        <v>44973</v>
      </c>
      <c r="B16" t="s">
        <v>12</v>
      </c>
      <c r="C16" t="s">
        <v>20</v>
      </c>
      <c r="D16" t="s">
        <v>15</v>
      </c>
      <c r="E16" s="5">
        <v>4</v>
      </c>
      <c r="F16" s="6">
        <v>4615.97</v>
      </c>
      <c r="G16" s="6">
        <f t="shared" si="0"/>
        <v>18463.88</v>
      </c>
    </row>
    <row r="17" spans="1:7" x14ac:dyDescent="0.25">
      <c r="A17" s="1">
        <v>44975</v>
      </c>
      <c r="B17" t="s">
        <v>12</v>
      </c>
      <c r="C17" t="s">
        <v>18</v>
      </c>
      <c r="D17" t="s">
        <v>15</v>
      </c>
      <c r="E17" s="5">
        <v>10</v>
      </c>
      <c r="F17" s="6">
        <v>2136.39</v>
      </c>
      <c r="G17" s="6">
        <f t="shared" si="0"/>
        <v>21363.899999999998</v>
      </c>
    </row>
    <row r="18" spans="1:7" x14ac:dyDescent="0.25">
      <c r="A18" s="1">
        <v>44977</v>
      </c>
      <c r="B18" t="s">
        <v>7</v>
      </c>
      <c r="C18" t="s">
        <v>20</v>
      </c>
      <c r="D18" t="s">
        <v>14</v>
      </c>
      <c r="E18" s="5">
        <v>7</v>
      </c>
      <c r="F18" s="6">
        <v>573.21</v>
      </c>
      <c r="G18" s="6">
        <f t="shared" si="0"/>
        <v>4012.4700000000003</v>
      </c>
    </row>
    <row r="19" spans="1:7" x14ac:dyDescent="0.25">
      <c r="A19" s="1">
        <v>44979</v>
      </c>
      <c r="B19" t="s">
        <v>12</v>
      </c>
      <c r="C19" t="s">
        <v>21</v>
      </c>
      <c r="D19" t="s">
        <v>15</v>
      </c>
      <c r="E19" s="5">
        <v>10</v>
      </c>
      <c r="F19" s="6">
        <v>1390.01</v>
      </c>
      <c r="G19" s="6">
        <f t="shared" si="0"/>
        <v>13900.1</v>
      </c>
    </row>
    <row r="20" spans="1:7" x14ac:dyDescent="0.25">
      <c r="A20" s="1">
        <v>44980</v>
      </c>
      <c r="B20" t="s">
        <v>13</v>
      </c>
      <c r="C20" t="s">
        <v>20</v>
      </c>
      <c r="D20" t="s">
        <v>10</v>
      </c>
      <c r="E20" s="5">
        <v>14</v>
      </c>
      <c r="F20" s="6">
        <v>1651.42</v>
      </c>
      <c r="G20" s="6">
        <f t="shared" si="0"/>
        <v>23119.88</v>
      </c>
    </row>
    <row r="21" spans="1:7" x14ac:dyDescent="0.25">
      <c r="A21" s="1">
        <v>44981</v>
      </c>
      <c r="B21" t="s">
        <v>7</v>
      </c>
      <c r="C21" t="s">
        <v>21</v>
      </c>
      <c r="D21" t="s">
        <v>14</v>
      </c>
      <c r="E21" s="5">
        <v>6</v>
      </c>
      <c r="F21" s="6">
        <v>2136.39</v>
      </c>
      <c r="G21" s="6">
        <f t="shared" si="0"/>
        <v>12818.34</v>
      </c>
    </row>
    <row r="22" spans="1:7" x14ac:dyDescent="0.25">
      <c r="A22" s="1">
        <v>44983</v>
      </c>
      <c r="B22" t="s">
        <v>12</v>
      </c>
      <c r="C22" t="s">
        <v>20</v>
      </c>
      <c r="D22" t="s">
        <v>15</v>
      </c>
      <c r="E22" s="5">
        <v>9</v>
      </c>
      <c r="F22" s="6">
        <v>1348.91</v>
      </c>
      <c r="G22" s="6">
        <f t="shared" si="0"/>
        <v>12140.19</v>
      </c>
    </row>
    <row r="23" spans="1:7" x14ac:dyDescent="0.25">
      <c r="A23" s="1">
        <v>44986</v>
      </c>
      <c r="B23" t="s">
        <v>16</v>
      </c>
      <c r="C23" t="s">
        <v>19</v>
      </c>
      <c r="D23" t="s">
        <v>8</v>
      </c>
      <c r="E23" s="5">
        <v>14</v>
      </c>
      <c r="F23" s="6">
        <v>810.29</v>
      </c>
      <c r="G23" s="6">
        <f t="shared" si="0"/>
        <v>11344.06</v>
      </c>
    </row>
    <row r="24" spans="1:7" x14ac:dyDescent="0.25">
      <c r="A24" s="1">
        <v>44990</v>
      </c>
      <c r="B24" t="s">
        <v>16</v>
      </c>
      <c r="C24" t="s">
        <v>21</v>
      </c>
      <c r="D24" t="s">
        <v>14</v>
      </c>
      <c r="E24" s="5">
        <v>3</v>
      </c>
      <c r="F24" s="6">
        <v>303.69</v>
      </c>
      <c r="G24" s="6">
        <f t="shared" si="0"/>
        <v>911.06999999999994</v>
      </c>
    </row>
    <row r="25" spans="1:7" x14ac:dyDescent="0.25">
      <c r="A25" s="1">
        <v>44997</v>
      </c>
      <c r="B25" t="s">
        <v>13</v>
      </c>
      <c r="C25" t="s">
        <v>20</v>
      </c>
      <c r="D25" t="s">
        <v>10</v>
      </c>
      <c r="E25" s="5">
        <v>16</v>
      </c>
      <c r="F25" s="6">
        <v>2166.89</v>
      </c>
      <c r="G25" s="6">
        <f t="shared" si="0"/>
        <v>34670.239999999998</v>
      </c>
    </row>
    <row r="26" spans="1:7" x14ac:dyDescent="0.25">
      <c r="A26" s="1">
        <v>44999</v>
      </c>
      <c r="B26" t="s">
        <v>9</v>
      </c>
      <c r="C26" t="s">
        <v>19</v>
      </c>
      <c r="D26" t="s">
        <v>8</v>
      </c>
      <c r="E26" s="5">
        <v>17</v>
      </c>
      <c r="F26" s="6">
        <v>3318.1</v>
      </c>
      <c r="G26" s="6">
        <f t="shared" si="0"/>
        <v>56407.7</v>
      </c>
    </row>
    <row r="27" spans="1:7" x14ac:dyDescent="0.25">
      <c r="A27" s="1">
        <v>45012</v>
      </c>
      <c r="B27" t="s">
        <v>12</v>
      </c>
      <c r="C27" t="s">
        <v>17</v>
      </c>
      <c r="D27" t="s">
        <v>8</v>
      </c>
      <c r="E27" s="5">
        <v>12</v>
      </c>
      <c r="F27" s="6">
        <v>3624.34</v>
      </c>
      <c r="G27" s="6">
        <f t="shared" si="0"/>
        <v>43492.08</v>
      </c>
    </row>
    <row r="28" spans="1:7" x14ac:dyDescent="0.25">
      <c r="A28" s="1">
        <v>45012</v>
      </c>
      <c r="B28" t="s">
        <v>16</v>
      </c>
      <c r="C28" t="s">
        <v>20</v>
      </c>
      <c r="D28" t="s">
        <v>11</v>
      </c>
      <c r="E28" s="5">
        <v>4</v>
      </c>
      <c r="F28" s="6">
        <v>1650.85</v>
      </c>
      <c r="G28" s="6">
        <f t="shared" si="0"/>
        <v>6603.4</v>
      </c>
    </row>
    <row r="29" spans="1:7" x14ac:dyDescent="0.25">
      <c r="A29" s="1">
        <v>45016</v>
      </c>
      <c r="B29" t="s">
        <v>7</v>
      </c>
      <c r="C29" t="s">
        <v>19</v>
      </c>
      <c r="D29" t="s">
        <v>10</v>
      </c>
      <c r="E29" s="5">
        <v>12</v>
      </c>
      <c r="F29" s="6">
        <v>827.4</v>
      </c>
      <c r="G29" s="6">
        <f t="shared" si="0"/>
        <v>9928.7999999999993</v>
      </c>
    </row>
    <row r="30" spans="1:7" x14ac:dyDescent="0.25">
      <c r="A30" s="1">
        <v>45020</v>
      </c>
      <c r="B30" t="s">
        <v>16</v>
      </c>
      <c r="C30" t="s">
        <v>18</v>
      </c>
      <c r="D30" t="s">
        <v>10</v>
      </c>
      <c r="E30" s="5">
        <v>13</v>
      </c>
      <c r="F30" s="6">
        <v>2643.65</v>
      </c>
      <c r="G30" s="6">
        <f t="shared" si="0"/>
        <v>34367.450000000004</v>
      </c>
    </row>
    <row r="31" spans="1:7" x14ac:dyDescent="0.25">
      <c r="A31" s="1">
        <v>45027</v>
      </c>
      <c r="B31" t="s">
        <v>7</v>
      </c>
      <c r="C31" t="s">
        <v>21</v>
      </c>
      <c r="D31" t="s">
        <v>15</v>
      </c>
      <c r="E31" s="5">
        <v>2</v>
      </c>
      <c r="F31" s="6">
        <v>4513.8999999999996</v>
      </c>
      <c r="G31" s="6">
        <f t="shared" si="0"/>
        <v>9027.7999999999993</v>
      </c>
    </row>
    <row r="32" spans="1:7" x14ac:dyDescent="0.25">
      <c r="A32" s="1">
        <v>45029</v>
      </c>
      <c r="B32" t="s">
        <v>13</v>
      </c>
      <c r="C32" t="s">
        <v>20</v>
      </c>
      <c r="D32" t="s">
        <v>14</v>
      </c>
      <c r="E32" s="5">
        <v>9</v>
      </c>
      <c r="F32" s="6">
        <v>2787.97</v>
      </c>
      <c r="G32" s="6">
        <f t="shared" si="0"/>
        <v>25091.73</v>
      </c>
    </row>
    <row r="33" spans="1:7" x14ac:dyDescent="0.25">
      <c r="A33" s="1">
        <v>45036</v>
      </c>
      <c r="B33" t="s">
        <v>7</v>
      </c>
      <c r="C33" t="s">
        <v>19</v>
      </c>
      <c r="D33" t="s">
        <v>15</v>
      </c>
      <c r="E33" s="5">
        <v>7</v>
      </c>
      <c r="F33" s="6">
        <v>347.03</v>
      </c>
      <c r="G33" s="6">
        <f t="shared" si="0"/>
        <v>2429.21</v>
      </c>
    </row>
    <row r="34" spans="1:7" x14ac:dyDescent="0.25">
      <c r="A34" s="1">
        <v>45037</v>
      </c>
      <c r="B34" t="s">
        <v>13</v>
      </c>
      <c r="C34" t="s">
        <v>21</v>
      </c>
      <c r="D34" t="s">
        <v>15</v>
      </c>
      <c r="E34" s="5">
        <v>17</v>
      </c>
      <c r="F34" s="6">
        <v>717.83</v>
      </c>
      <c r="G34" s="6">
        <f t="shared" si="0"/>
        <v>12203.11</v>
      </c>
    </row>
    <row r="35" spans="1:7" x14ac:dyDescent="0.25">
      <c r="A35" s="1">
        <v>45040</v>
      </c>
      <c r="B35" t="s">
        <v>12</v>
      </c>
      <c r="C35" t="s">
        <v>19</v>
      </c>
      <c r="D35" t="s">
        <v>15</v>
      </c>
      <c r="E35" s="5">
        <v>1</v>
      </c>
      <c r="F35" s="6">
        <v>2505.5500000000002</v>
      </c>
      <c r="G35" s="6">
        <f t="shared" ref="G35:G66" si="1">F35*E35</f>
        <v>2505.5500000000002</v>
      </c>
    </row>
    <row r="36" spans="1:7" x14ac:dyDescent="0.25">
      <c r="A36" s="1">
        <v>45041</v>
      </c>
      <c r="B36" t="s">
        <v>9</v>
      </c>
      <c r="C36" t="s">
        <v>17</v>
      </c>
      <c r="D36" t="s">
        <v>10</v>
      </c>
      <c r="E36" s="5">
        <v>13</v>
      </c>
      <c r="F36" s="6">
        <v>345.37</v>
      </c>
      <c r="G36" s="6">
        <f t="shared" si="1"/>
        <v>4489.8100000000004</v>
      </c>
    </row>
    <row r="37" spans="1:7" x14ac:dyDescent="0.25">
      <c r="A37" s="1">
        <v>45047</v>
      </c>
      <c r="B37" t="s">
        <v>9</v>
      </c>
      <c r="C37" t="s">
        <v>17</v>
      </c>
      <c r="D37" t="s">
        <v>10</v>
      </c>
      <c r="E37" s="5">
        <v>7</v>
      </c>
      <c r="F37" s="6">
        <v>3587.68</v>
      </c>
      <c r="G37" s="6">
        <f t="shared" si="1"/>
        <v>25113.759999999998</v>
      </c>
    </row>
    <row r="38" spans="1:7" x14ac:dyDescent="0.25">
      <c r="A38" s="1">
        <v>45058</v>
      </c>
      <c r="B38" t="s">
        <v>9</v>
      </c>
      <c r="C38" t="s">
        <v>21</v>
      </c>
      <c r="D38" t="s">
        <v>15</v>
      </c>
      <c r="E38" s="5">
        <v>7</v>
      </c>
      <c r="F38" s="6">
        <v>130.11000000000001</v>
      </c>
      <c r="G38" s="6">
        <f t="shared" si="1"/>
        <v>910.7700000000001</v>
      </c>
    </row>
    <row r="39" spans="1:7" x14ac:dyDescent="0.25">
      <c r="A39" s="1">
        <v>45062</v>
      </c>
      <c r="B39" t="s">
        <v>12</v>
      </c>
      <c r="C39" t="s">
        <v>20</v>
      </c>
      <c r="D39" t="s">
        <v>11</v>
      </c>
      <c r="E39" s="5">
        <v>9</v>
      </c>
      <c r="F39" s="6">
        <v>130.11000000000001</v>
      </c>
      <c r="G39" s="6">
        <f t="shared" si="1"/>
        <v>1170.9900000000002</v>
      </c>
    </row>
    <row r="40" spans="1:7" x14ac:dyDescent="0.25">
      <c r="A40" s="1">
        <v>45065</v>
      </c>
      <c r="B40" t="s">
        <v>13</v>
      </c>
      <c r="C40" t="s">
        <v>18</v>
      </c>
      <c r="D40" t="s">
        <v>15</v>
      </c>
      <c r="E40" s="5">
        <v>3</v>
      </c>
      <c r="F40" s="6">
        <v>3596.45</v>
      </c>
      <c r="G40" s="6">
        <f t="shared" si="1"/>
        <v>10789.349999999999</v>
      </c>
    </row>
    <row r="41" spans="1:7" x14ac:dyDescent="0.25">
      <c r="A41" s="1">
        <v>45068</v>
      </c>
      <c r="B41" t="s">
        <v>12</v>
      </c>
      <c r="C41" t="s">
        <v>20</v>
      </c>
      <c r="D41" t="s">
        <v>10</v>
      </c>
      <c r="E41" s="5">
        <v>1</v>
      </c>
      <c r="F41" s="6">
        <v>3908.7</v>
      </c>
      <c r="G41" s="6">
        <f t="shared" si="1"/>
        <v>3908.7</v>
      </c>
    </row>
    <row r="42" spans="1:7" x14ac:dyDescent="0.25">
      <c r="A42" s="1">
        <v>45069</v>
      </c>
      <c r="B42" t="s">
        <v>7</v>
      </c>
      <c r="C42" t="s">
        <v>20</v>
      </c>
      <c r="D42" t="s">
        <v>15</v>
      </c>
      <c r="E42" s="5">
        <v>13</v>
      </c>
      <c r="F42" s="6">
        <v>1882.81</v>
      </c>
      <c r="G42" s="6">
        <f t="shared" si="1"/>
        <v>24476.53</v>
      </c>
    </row>
    <row r="43" spans="1:7" x14ac:dyDescent="0.25">
      <c r="A43" s="1">
        <v>45070</v>
      </c>
      <c r="B43" t="s">
        <v>13</v>
      </c>
      <c r="C43" t="s">
        <v>19</v>
      </c>
      <c r="D43" t="s">
        <v>14</v>
      </c>
      <c r="E43" s="5">
        <v>9</v>
      </c>
      <c r="F43" s="6">
        <v>2136.39</v>
      </c>
      <c r="G43" s="6">
        <f t="shared" si="1"/>
        <v>19227.509999999998</v>
      </c>
    </row>
    <row r="44" spans="1:7" x14ac:dyDescent="0.25">
      <c r="A44" s="1">
        <v>45072</v>
      </c>
      <c r="B44" t="s">
        <v>13</v>
      </c>
      <c r="C44" t="s">
        <v>20</v>
      </c>
      <c r="D44" t="s">
        <v>15</v>
      </c>
      <c r="E44" s="5">
        <v>8</v>
      </c>
      <c r="F44" s="6">
        <v>482.06</v>
      </c>
      <c r="G44" s="6">
        <f t="shared" si="1"/>
        <v>3856.48</v>
      </c>
    </row>
    <row r="45" spans="1:7" x14ac:dyDescent="0.25">
      <c r="A45" s="1">
        <v>45073</v>
      </c>
      <c r="B45" t="s">
        <v>7</v>
      </c>
      <c r="C45" t="s">
        <v>17</v>
      </c>
      <c r="D45" t="s">
        <v>11</v>
      </c>
      <c r="E45" s="5">
        <v>20</v>
      </c>
      <c r="F45" s="6">
        <v>3554.54</v>
      </c>
      <c r="G45" s="6">
        <f t="shared" si="1"/>
        <v>71090.8</v>
      </c>
    </row>
    <row r="46" spans="1:7" x14ac:dyDescent="0.25">
      <c r="A46" s="1">
        <v>45080</v>
      </c>
      <c r="B46" t="s">
        <v>12</v>
      </c>
      <c r="C46" t="s">
        <v>20</v>
      </c>
      <c r="D46" t="s">
        <v>10</v>
      </c>
      <c r="E46" s="5">
        <v>6</v>
      </c>
      <c r="F46" s="6">
        <v>2049.16</v>
      </c>
      <c r="G46" s="6">
        <f t="shared" si="1"/>
        <v>12294.96</v>
      </c>
    </row>
    <row r="47" spans="1:7" x14ac:dyDescent="0.25">
      <c r="A47" s="1">
        <v>45081</v>
      </c>
      <c r="B47" t="s">
        <v>7</v>
      </c>
      <c r="C47" t="s">
        <v>20</v>
      </c>
      <c r="D47" t="s">
        <v>8</v>
      </c>
      <c r="E47" s="5">
        <v>2</v>
      </c>
      <c r="F47" s="6">
        <v>1168.19</v>
      </c>
      <c r="G47" s="6">
        <f t="shared" si="1"/>
        <v>2336.38</v>
      </c>
    </row>
    <row r="48" spans="1:7" x14ac:dyDescent="0.25">
      <c r="A48" s="1">
        <v>45082</v>
      </c>
      <c r="B48" t="s">
        <v>9</v>
      </c>
      <c r="C48" t="s">
        <v>17</v>
      </c>
      <c r="D48" t="s">
        <v>15</v>
      </c>
      <c r="E48" s="5">
        <v>10</v>
      </c>
      <c r="F48" s="6">
        <v>3923.26</v>
      </c>
      <c r="G48" s="6">
        <f t="shared" si="1"/>
        <v>39232.600000000006</v>
      </c>
    </row>
    <row r="49" spans="1:7" x14ac:dyDescent="0.25">
      <c r="A49" s="1">
        <v>45086</v>
      </c>
      <c r="B49" t="s">
        <v>12</v>
      </c>
      <c r="C49" t="s">
        <v>18</v>
      </c>
      <c r="D49" t="s">
        <v>11</v>
      </c>
      <c r="E49" s="5">
        <v>3</v>
      </c>
      <c r="F49" s="6">
        <v>4513.8999999999996</v>
      </c>
      <c r="G49" s="6">
        <f t="shared" si="1"/>
        <v>13541.699999999999</v>
      </c>
    </row>
    <row r="50" spans="1:7" x14ac:dyDescent="0.25">
      <c r="A50" s="1">
        <v>45091</v>
      </c>
      <c r="B50" t="s">
        <v>9</v>
      </c>
      <c r="C50" t="s">
        <v>19</v>
      </c>
      <c r="D50" t="s">
        <v>11</v>
      </c>
      <c r="E50" s="5">
        <v>14</v>
      </c>
      <c r="F50" s="6">
        <v>1401.69</v>
      </c>
      <c r="G50" s="6">
        <f t="shared" si="1"/>
        <v>19623.66</v>
      </c>
    </row>
    <row r="51" spans="1:7" x14ac:dyDescent="0.25">
      <c r="A51" s="1">
        <v>45091</v>
      </c>
      <c r="B51" t="s">
        <v>12</v>
      </c>
      <c r="C51" t="s">
        <v>21</v>
      </c>
      <c r="D51" t="s">
        <v>10</v>
      </c>
      <c r="E51" s="5">
        <v>10</v>
      </c>
      <c r="F51" s="6">
        <v>807.99</v>
      </c>
      <c r="G51" s="6">
        <f t="shared" si="1"/>
        <v>8079.9</v>
      </c>
    </row>
    <row r="52" spans="1:7" x14ac:dyDescent="0.25">
      <c r="A52" s="1">
        <v>45091</v>
      </c>
      <c r="B52" t="s">
        <v>16</v>
      </c>
      <c r="C52" t="s">
        <v>17</v>
      </c>
      <c r="D52" t="s">
        <v>11</v>
      </c>
      <c r="E52" s="5">
        <v>10</v>
      </c>
      <c r="F52" s="6">
        <v>2016.18</v>
      </c>
      <c r="G52" s="6">
        <f t="shared" si="1"/>
        <v>20161.8</v>
      </c>
    </row>
    <row r="53" spans="1:7" x14ac:dyDescent="0.25">
      <c r="A53" s="1">
        <v>45093</v>
      </c>
      <c r="B53" t="s">
        <v>12</v>
      </c>
      <c r="C53" t="s">
        <v>18</v>
      </c>
      <c r="D53" t="s">
        <v>15</v>
      </c>
      <c r="E53" s="5">
        <v>20</v>
      </c>
      <c r="F53" s="6">
        <v>2505.5500000000002</v>
      </c>
      <c r="G53" s="6">
        <f t="shared" si="1"/>
        <v>50111</v>
      </c>
    </row>
    <row r="54" spans="1:7" x14ac:dyDescent="0.25">
      <c r="A54" s="1">
        <v>45097</v>
      </c>
      <c r="B54" t="s">
        <v>16</v>
      </c>
      <c r="C54" t="s">
        <v>18</v>
      </c>
      <c r="D54" t="s">
        <v>15</v>
      </c>
      <c r="E54" s="5">
        <v>3</v>
      </c>
      <c r="F54" s="6">
        <v>573.21</v>
      </c>
      <c r="G54" s="6">
        <f t="shared" si="1"/>
        <v>1719.63</v>
      </c>
    </row>
    <row r="55" spans="1:7" x14ac:dyDescent="0.25">
      <c r="A55" s="1">
        <v>45101</v>
      </c>
      <c r="B55" t="s">
        <v>13</v>
      </c>
      <c r="C55" t="s">
        <v>21</v>
      </c>
      <c r="D55" t="s">
        <v>14</v>
      </c>
      <c r="E55" s="5">
        <v>8</v>
      </c>
      <c r="F55" s="6">
        <v>4961.6000000000004</v>
      </c>
      <c r="G55" s="6">
        <f t="shared" si="1"/>
        <v>39692.800000000003</v>
      </c>
    </row>
    <row r="56" spans="1:7" x14ac:dyDescent="0.25">
      <c r="A56" s="1">
        <v>45106</v>
      </c>
      <c r="B56" t="s">
        <v>13</v>
      </c>
      <c r="C56" t="s">
        <v>20</v>
      </c>
      <c r="D56" t="s">
        <v>15</v>
      </c>
      <c r="E56" s="5">
        <v>18</v>
      </c>
      <c r="F56" s="6">
        <v>1424.69</v>
      </c>
      <c r="G56" s="6">
        <f t="shared" si="1"/>
        <v>25644.420000000002</v>
      </c>
    </row>
    <row r="57" spans="1:7" x14ac:dyDescent="0.25">
      <c r="A57" s="1">
        <v>45111</v>
      </c>
      <c r="B57" t="s">
        <v>12</v>
      </c>
      <c r="C57" t="s">
        <v>19</v>
      </c>
      <c r="D57" t="s">
        <v>11</v>
      </c>
      <c r="E57" s="5">
        <v>7</v>
      </c>
      <c r="F57" s="6">
        <v>2873.97</v>
      </c>
      <c r="G57" s="6">
        <f t="shared" si="1"/>
        <v>20117.789999999997</v>
      </c>
    </row>
    <row r="58" spans="1:7" x14ac:dyDescent="0.25">
      <c r="A58" s="1">
        <v>45111</v>
      </c>
      <c r="B58" t="s">
        <v>12</v>
      </c>
      <c r="C58" t="s">
        <v>17</v>
      </c>
      <c r="D58" t="s">
        <v>14</v>
      </c>
      <c r="E58" s="5">
        <v>10</v>
      </c>
      <c r="F58" s="6">
        <v>2275.71</v>
      </c>
      <c r="G58" s="6">
        <f t="shared" si="1"/>
        <v>22757.1</v>
      </c>
    </row>
    <row r="59" spans="1:7" x14ac:dyDescent="0.25">
      <c r="A59" s="1">
        <v>45114</v>
      </c>
      <c r="B59" t="s">
        <v>13</v>
      </c>
      <c r="C59" t="s">
        <v>19</v>
      </c>
      <c r="D59" t="s">
        <v>15</v>
      </c>
      <c r="E59" s="5">
        <v>8</v>
      </c>
      <c r="F59" s="6">
        <v>4913.28</v>
      </c>
      <c r="G59" s="6">
        <f t="shared" si="1"/>
        <v>39306.239999999998</v>
      </c>
    </row>
    <row r="60" spans="1:7" x14ac:dyDescent="0.25">
      <c r="A60" s="1">
        <v>45117</v>
      </c>
      <c r="B60" t="s">
        <v>13</v>
      </c>
      <c r="C60" t="s">
        <v>20</v>
      </c>
      <c r="D60" t="s">
        <v>11</v>
      </c>
      <c r="E60" s="5">
        <v>11</v>
      </c>
      <c r="F60" s="6">
        <v>1650.85</v>
      </c>
      <c r="G60" s="6">
        <f t="shared" si="1"/>
        <v>18159.349999999999</v>
      </c>
    </row>
    <row r="61" spans="1:7" x14ac:dyDescent="0.25">
      <c r="A61" s="1">
        <v>45121</v>
      </c>
      <c r="B61" t="s">
        <v>9</v>
      </c>
      <c r="C61" t="s">
        <v>19</v>
      </c>
      <c r="D61" t="s">
        <v>8</v>
      </c>
      <c r="E61" s="5">
        <v>17</v>
      </c>
      <c r="F61" s="6">
        <v>2415.0700000000002</v>
      </c>
      <c r="G61" s="6">
        <f t="shared" si="1"/>
        <v>41056.19</v>
      </c>
    </row>
    <row r="62" spans="1:7" x14ac:dyDescent="0.25">
      <c r="A62" s="1">
        <v>45128</v>
      </c>
      <c r="B62" t="s">
        <v>16</v>
      </c>
      <c r="C62" t="s">
        <v>17</v>
      </c>
      <c r="D62" t="s">
        <v>15</v>
      </c>
      <c r="E62" s="5">
        <v>20</v>
      </c>
      <c r="F62" s="6">
        <v>1882.81</v>
      </c>
      <c r="G62" s="6">
        <f t="shared" si="1"/>
        <v>37656.199999999997</v>
      </c>
    </row>
    <row r="63" spans="1:7" x14ac:dyDescent="0.25">
      <c r="A63" s="1">
        <v>45131</v>
      </c>
      <c r="B63" t="s">
        <v>9</v>
      </c>
      <c r="C63" t="s">
        <v>19</v>
      </c>
      <c r="D63" t="s">
        <v>15</v>
      </c>
      <c r="E63" s="5">
        <v>5</v>
      </c>
      <c r="F63" s="6">
        <v>4332.25</v>
      </c>
      <c r="G63" s="6">
        <f t="shared" si="1"/>
        <v>21661.25</v>
      </c>
    </row>
    <row r="64" spans="1:7" x14ac:dyDescent="0.25">
      <c r="A64" s="1">
        <v>45132</v>
      </c>
      <c r="B64" t="s">
        <v>12</v>
      </c>
      <c r="C64" t="s">
        <v>18</v>
      </c>
      <c r="D64" t="s">
        <v>8</v>
      </c>
      <c r="E64" s="5">
        <v>7</v>
      </c>
      <c r="F64" s="6">
        <v>130.11000000000001</v>
      </c>
      <c r="G64" s="6">
        <f t="shared" si="1"/>
        <v>910.7700000000001</v>
      </c>
    </row>
    <row r="65" spans="1:7" x14ac:dyDescent="0.25">
      <c r="A65" s="1">
        <v>45133</v>
      </c>
      <c r="B65" t="s">
        <v>16</v>
      </c>
      <c r="C65" t="s">
        <v>19</v>
      </c>
      <c r="D65" t="s">
        <v>11</v>
      </c>
      <c r="E65" s="5">
        <v>3</v>
      </c>
      <c r="F65" s="6">
        <v>1650.85</v>
      </c>
      <c r="G65" s="6">
        <f t="shared" si="1"/>
        <v>4952.5499999999993</v>
      </c>
    </row>
    <row r="66" spans="1:7" x14ac:dyDescent="0.25">
      <c r="A66" s="1">
        <v>45133</v>
      </c>
      <c r="B66" t="s">
        <v>7</v>
      </c>
      <c r="C66" t="s">
        <v>21</v>
      </c>
      <c r="D66" t="s">
        <v>10</v>
      </c>
      <c r="E66" s="5">
        <v>1</v>
      </c>
      <c r="F66" s="6">
        <v>827.4</v>
      </c>
      <c r="G66" s="6">
        <f t="shared" si="1"/>
        <v>827.4</v>
      </c>
    </row>
    <row r="67" spans="1:7" x14ac:dyDescent="0.25">
      <c r="A67" s="1">
        <v>45140</v>
      </c>
      <c r="B67" t="s">
        <v>9</v>
      </c>
      <c r="C67" t="s">
        <v>21</v>
      </c>
      <c r="D67" t="s">
        <v>8</v>
      </c>
      <c r="E67" s="5">
        <v>18</v>
      </c>
      <c r="F67" s="6">
        <v>2505.5500000000002</v>
      </c>
      <c r="G67" s="6">
        <f t="shared" ref="G67:G98" si="2">F67*E67</f>
        <v>45099.9</v>
      </c>
    </row>
    <row r="68" spans="1:7" x14ac:dyDescent="0.25">
      <c r="A68" s="1">
        <v>45140</v>
      </c>
      <c r="B68" t="s">
        <v>9</v>
      </c>
      <c r="C68" t="s">
        <v>20</v>
      </c>
      <c r="D68" t="s">
        <v>11</v>
      </c>
      <c r="E68" s="5">
        <v>14</v>
      </c>
      <c r="F68" s="6">
        <v>807.99</v>
      </c>
      <c r="G68" s="6">
        <f t="shared" si="2"/>
        <v>11311.86</v>
      </c>
    </row>
    <row r="69" spans="1:7" x14ac:dyDescent="0.25">
      <c r="A69" s="1">
        <v>45141</v>
      </c>
      <c r="B69" t="s">
        <v>7</v>
      </c>
      <c r="C69" t="s">
        <v>17</v>
      </c>
      <c r="D69" t="s">
        <v>8</v>
      </c>
      <c r="E69" s="5">
        <v>14</v>
      </c>
      <c r="F69" s="6">
        <v>3139.25</v>
      </c>
      <c r="G69" s="6">
        <f t="shared" si="2"/>
        <v>43949.5</v>
      </c>
    </row>
    <row r="70" spans="1:7" x14ac:dyDescent="0.25">
      <c r="A70" s="1">
        <v>45144</v>
      </c>
      <c r="B70" t="s">
        <v>16</v>
      </c>
      <c r="C70" t="s">
        <v>18</v>
      </c>
      <c r="D70" t="s">
        <v>8</v>
      </c>
      <c r="E70" s="5">
        <v>17</v>
      </c>
      <c r="F70" s="6">
        <v>573.21</v>
      </c>
      <c r="G70" s="6">
        <f t="shared" si="2"/>
        <v>9744.57</v>
      </c>
    </row>
    <row r="71" spans="1:7" x14ac:dyDescent="0.25">
      <c r="A71" s="1">
        <v>45145</v>
      </c>
      <c r="B71" t="s">
        <v>13</v>
      </c>
      <c r="C71" t="s">
        <v>21</v>
      </c>
      <c r="D71" t="s">
        <v>11</v>
      </c>
      <c r="E71" s="5">
        <v>3</v>
      </c>
      <c r="F71" s="6">
        <v>1650.85</v>
      </c>
      <c r="G71" s="6">
        <f t="shared" si="2"/>
        <v>4952.5499999999993</v>
      </c>
    </row>
    <row r="72" spans="1:7" x14ac:dyDescent="0.25">
      <c r="A72" s="1">
        <v>45146</v>
      </c>
      <c r="B72" t="s">
        <v>16</v>
      </c>
      <c r="C72" t="s">
        <v>21</v>
      </c>
      <c r="D72" t="s">
        <v>8</v>
      </c>
      <c r="E72" s="5">
        <v>16</v>
      </c>
      <c r="F72" s="6">
        <v>1211.28</v>
      </c>
      <c r="G72" s="6">
        <f t="shared" si="2"/>
        <v>19380.48</v>
      </c>
    </row>
    <row r="73" spans="1:7" x14ac:dyDescent="0.25">
      <c r="A73" s="1">
        <v>45152</v>
      </c>
      <c r="B73" t="s">
        <v>9</v>
      </c>
      <c r="C73" t="s">
        <v>21</v>
      </c>
      <c r="D73" t="s">
        <v>15</v>
      </c>
      <c r="E73" s="5">
        <v>11</v>
      </c>
      <c r="F73" s="6">
        <v>295.97000000000003</v>
      </c>
      <c r="G73" s="6">
        <f t="shared" si="2"/>
        <v>3255.67</v>
      </c>
    </row>
    <row r="74" spans="1:7" x14ac:dyDescent="0.25">
      <c r="A74" s="1">
        <v>45154</v>
      </c>
      <c r="B74" t="s">
        <v>12</v>
      </c>
      <c r="C74" t="s">
        <v>21</v>
      </c>
      <c r="D74" t="s">
        <v>15</v>
      </c>
      <c r="E74" s="5">
        <v>17</v>
      </c>
      <c r="F74" s="6">
        <v>4390.2700000000004</v>
      </c>
      <c r="G74" s="6">
        <f t="shared" si="2"/>
        <v>74634.590000000011</v>
      </c>
    </row>
    <row r="75" spans="1:7" x14ac:dyDescent="0.25">
      <c r="A75" s="1">
        <v>45155</v>
      </c>
      <c r="B75" t="s">
        <v>9</v>
      </c>
      <c r="C75" t="s">
        <v>21</v>
      </c>
      <c r="D75" t="s">
        <v>14</v>
      </c>
      <c r="E75" s="5">
        <v>20</v>
      </c>
      <c r="F75" s="6">
        <v>2643.65</v>
      </c>
      <c r="G75" s="6">
        <f t="shared" si="2"/>
        <v>52873</v>
      </c>
    </row>
    <row r="76" spans="1:7" x14ac:dyDescent="0.25">
      <c r="A76" s="1">
        <v>45161</v>
      </c>
      <c r="B76" t="s">
        <v>13</v>
      </c>
      <c r="C76" t="s">
        <v>19</v>
      </c>
      <c r="D76" t="s">
        <v>11</v>
      </c>
      <c r="E76" s="5">
        <v>16</v>
      </c>
      <c r="F76" s="6">
        <v>4615.97</v>
      </c>
      <c r="G76" s="6">
        <f t="shared" si="2"/>
        <v>73855.520000000004</v>
      </c>
    </row>
    <row r="77" spans="1:7" x14ac:dyDescent="0.25">
      <c r="A77" s="1">
        <v>45169</v>
      </c>
      <c r="B77" t="s">
        <v>12</v>
      </c>
      <c r="C77" t="s">
        <v>19</v>
      </c>
      <c r="D77" t="s">
        <v>14</v>
      </c>
      <c r="E77" s="5">
        <v>6</v>
      </c>
      <c r="F77" s="6">
        <v>3908.7</v>
      </c>
      <c r="G77" s="6">
        <f t="shared" si="2"/>
        <v>23452.199999999997</v>
      </c>
    </row>
    <row r="78" spans="1:7" x14ac:dyDescent="0.25">
      <c r="A78" s="1">
        <v>45169</v>
      </c>
      <c r="B78" t="s">
        <v>9</v>
      </c>
      <c r="C78" t="s">
        <v>19</v>
      </c>
      <c r="D78" t="s">
        <v>14</v>
      </c>
      <c r="E78" s="5">
        <v>11</v>
      </c>
      <c r="F78" s="6">
        <v>1651.42</v>
      </c>
      <c r="G78" s="6">
        <f t="shared" si="2"/>
        <v>18165.620000000003</v>
      </c>
    </row>
    <row r="79" spans="1:7" x14ac:dyDescent="0.25">
      <c r="A79" s="1">
        <v>45173</v>
      </c>
      <c r="B79" t="s">
        <v>13</v>
      </c>
      <c r="C79" t="s">
        <v>20</v>
      </c>
      <c r="D79" t="s">
        <v>8</v>
      </c>
      <c r="E79" s="5">
        <v>5</v>
      </c>
      <c r="F79" s="6">
        <v>3110.71</v>
      </c>
      <c r="G79" s="6">
        <f t="shared" si="2"/>
        <v>15553.55</v>
      </c>
    </row>
    <row r="80" spans="1:7" x14ac:dyDescent="0.25">
      <c r="A80" s="1">
        <v>45175</v>
      </c>
      <c r="B80" t="s">
        <v>9</v>
      </c>
      <c r="C80" t="s">
        <v>20</v>
      </c>
      <c r="D80" t="s">
        <v>10</v>
      </c>
      <c r="E80" s="5">
        <v>4</v>
      </c>
      <c r="F80" s="6">
        <v>1168.19</v>
      </c>
      <c r="G80" s="6">
        <f t="shared" si="2"/>
        <v>4672.76</v>
      </c>
    </row>
    <row r="81" spans="1:7" x14ac:dyDescent="0.25">
      <c r="A81" s="1">
        <v>45177</v>
      </c>
      <c r="B81" t="s">
        <v>12</v>
      </c>
      <c r="C81" t="s">
        <v>20</v>
      </c>
      <c r="D81" t="s">
        <v>10</v>
      </c>
      <c r="E81" s="5">
        <v>19</v>
      </c>
      <c r="F81" s="6">
        <v>2239.29</v>
      </c>
      <c r="G81" s="6">
        <f t="shared" si="2"/>
        <v>42546.51</v>
      </c>
    </row>
    <row r="82" spans="1:7" x14ac:dyDescent="0.25">
      <c r="A82" s="1">
        <v>45182</v>
      </c>
      <c r="B82" t="s">
        <v>7</v>
      </c>
      <c r="C82" t="s">
        <v>18</v>
      </c>
      <c r="D82" t="s">
        <v>10</v>
      </c>
      <c r="E82" s="5">
        <v>8</v>
      </c>
      <c r="F82" s="6">
        <v>3822.16</v>
      </c>
      <c r="G82" s="6">
        <f t="shared" si="2"/>
        <v>30577.279999999999</v>
      </c>
    </row>
    <row r="83" spans="1:7" x14ac:dyDescent="0.25">
      <c r="A83" s="1">
        <v>45182</v>
      </c>
      <c r="B83" t="s">
        <v>12</v>
      </c>
      <c r="C83" t="s">
        <v>17</v>
      </c>
      <c r="D83" t="s">
        <v>11</v>
      </c>
      <c r="E83" s="5">
        <v>5</v>
      </c>
      <c r="F83" s="6">
        <v>1168.19</v>
      </c>
      <c r="G83" s="6">
        <f t="shared" si="2"/>
        <v>5840.9500000000007</v>
      </c>
    </row>
    <row r="84" spans="1:7" x14ac:dyDescent="0.25">
      <c r="A84" s="1">
        <v>45187</v>
      </c>
      <c r="B84" t="s">
        <v>9</v>
      </c>
      <c r="C84" t="s">
        <v>20</v>
      </c>
      <c r="D84" t="s">
        <v>11</v>
      </c>
      <c r="E84" s="5">
        <v>14</v>
      </c>
      <c r="F84" s="6">
        <v>4513.8999999999996</v>
      </c>
      <c r="G84" s="6">
        <f t="shared" si="2"/>
        <v>63194.599999999991</v>
      </c>
    </row>
    <row r="85" spans="1:7" x14ac:dyDescent="0.25">
      <c r="A85" s="1">
        <v>45188</v>
      </c>
      <c r="B85" t="s">
        <v>9</v>
      </c>
      <c r="C85" t="s">
        <v>21</v>
      </c>
      <c r="D85" t="s">
        <v>15</v>
      </c>
      <c r="E85" s="5">
        <v>8</v>
      </c>
      <c r="F85" s="6">
        <v>2077.83</v>
      </c>
      <c r="G85" s="6">
        <f t="shared" si="2"/>
        <v>16622.64</v>
      </c>
    </row>
    <row r="86" spans="1:7" x14ac:dyDescent="0.25">
      <c r="A86" s="1">
        <v>45188</v>
      </c>
      <c r="B86" t="s">
        <v>12</v>
      </c>
      <c r="C86" t="s">
        <v>18</v>
      </c>
      <c r="D86" t="s">
        <v>10</v>
      </c>
      <c r="E86" s="5">
        <v>3</v>
      </c>
      <c r="F86" s="6">
        <v>4587.28</v>
      </c>
      <c r="G86" s="6">
        <f t="shared" si="2"/>
        <v>13761.84</v>
      </c>
    </row>
    <row r="87" spans="1:7" x14ac:dyDescent="0.25">
      <c r="A87" s="1">
        <v>45194</v>
      </c>
      <c r="B87" t="s">
        <v>9</v>
      </c>
      <c r="C87" t="s">
        <v>17</v>
      </c>
      <c r="D87" t="s">
        <v>14</v>
      </c>
      <c r="E87" s="5">
        <v>2</v>
      </c>
      <c r="F87" s="6">
        <v>90.35</v>
      </c>
      <c r="G87" s="6">
        <f t="shared" si="2"/>
        <v>180.7</v>
      </c>
    </row>
    <row r="88" spans="1:7" x14ac:dyDescent="0.25">
      <c r="A88" s="1">
        <v>45195</v>
      </c>
      <c r="B88" t="s">
        <v>16</v>
      </c>
      <c r="C88" t="s">
        <v>17</v>
      </c>
      <c r="D88" t="s">
        <v>15</v>
      </c>
      <c r="E88" s="5">
        <v>13</v>
      </c>
      <c r="F88" s="6">
        <v>550.23</v>
      </c>
      <c r="G88" s="6">
        <f t="shared" si="2"/>
        <v>7152.99</v>
      </c>
    </row>
    <row r="89" spans="1:7" x14ac:dyDescent="0.25">
      <c r="A89" s="1">
        <v>45196</v>
      </c>
      <c r="B89" t="s">
        <v>12</v>
      </c>
      <c r="C89" t="s">
        <v>19</v>
      </c>
      <c r="D89" t="s">
        <v>10</v>
      </c>
      <c r="E89" s="5">
        <v>8</v>
      </c>
      <c r="F89" s="6">
        <v>3318.1</v>
      </c>
      <c r="G89" s="6">
        <f t="shared" si="2"/>
        <v>26544.799999999999</v>
      </c>
    </row>
    <row r="90" spans="1:7" x14ac:dyDescent="0.25">
      <c r="A90" s="1">
        <v>45205</v>
      </c>
      <c r="B90" t="s">
        <v>9</v>
      </c>
      <c r="C90" t="s">
        <v>21</v>
      </c>
      <c r="D90" t="s">
        <v>11</v>
      </c>
      <c r="E90" s="5">
        <v>18</v>
      </c>
      <c r="F90" s="6">
        <v>2450.65</v>
      </c>
      <c r="G90" s="6">
        <f t="shared" si="2"/>
        <v>44111.700000000004</v>
      </c>
    </row>
    <row r="91" spans="1:7" x14ac:dyDescent="0.25">
      <c r="A91" s="1">
        <v>45207</v>
      </c>
      <c r="B91" t="s">
        <v>12</v>
      </c>
      <c r="C91" t="s">
        <v>21</v>
      </c>
      <c r="D91" t="s">
        <v>14</v>
      </c>
      <c r="E91" s="5">
        <v>16</v>
      </c>
      <c r="F91" s="6">
        <v>1168.19</v>
      </c>
      <c r="G91" s="6">
        <f t="shared" si="2"/>
        <v>18691.04</v>
      </c>
    </row>
    <row r="92" spans="1:7" x14ac:dyDescent="0.25">
      <c r="A92" s="1">
        <v>45207</v>
      </c>
      <c r="B92" t="s">
        <v>12</v>
      </c>
      <c r="C92" t="s">
        <v>21</v>
      </c>
      <c r="D92" t="s">
        <v>11</v>
      </c>
      <c r="E92" s="5">
        <v>9</v>
      </c>
      <c r="F92" s="6">
        <v>1650.85</v>
      </c>
      <c r="G92" s="6">
        <f t="shared" si="2"/>
        <v>14857.65</v>
      </c>
    </row>
    <row r="93" spans="1:7" x14ac:dyDescent="0.25">
      <c r="A93" s="1">
        <v>45211</v>
      </c>
      <c r="B93" t="s">
        <v>9</v>
      </c>
      <c r="C93" t="s">
        <v>20</v>
      </c>
      <c r="D93" t="s">
        <v>11</v>
      </c>
      <c r="E93" s="5">
        <v>5</v>
      </c>
      <c r="F93" s="6">
        <v>1168.19</v>
      </c>
      <c r="G93" s="6">
        <f t="shared" si="2"/>
        <v>5840.9500000000007</v>
      </c>
    </row>
    <row r="94" spans="1:7" x14ac:dyDescent="0.25">
      <c r="A94" s="1">
        <v>45213</v>
      </c>
      <c r="B94" t="s">
        <v>9</v>
      </c>
      <c r="C94" t="s">
        <v>20</v>
      </c>
      <c r="D94" t="s">
        <v>10</v>
      </c>
      <c r="E94" s="5">
        <v>5</v>
      </c>
      <c r="F94" s="6">
        <v>573.21</v>
      </c>
      <c r="G94" s="6">
        <f t="shared" si="2"/>
        <v>2866.05</v>
      </c>
    </row>
    <row r="95" spans="1:7" x14ac:dyDescent="0.25">
      <c r="A95" s="1">
        <v>45218</v>
      </c>
      <c r="B95" t="s">
        <v>9</v>
      </c>
      <c r="C95" t="s">
        <v>20</v>
      </c>
      <c r="D95" t="s">
        <v>10</v>
      </c>
      <c r="E95" s="5">
        <v>6</v>
      </c>
      <c r="F95" s="6">
        <v>3587.68</v>
      </c>
      <c r="G95" s="6">
        <f t="shared" si="2"/>
        <v>21526.079999999998</v>
      </c>
    </row>
    <row r="96" spans="1:7" x14ac:dyDescent="0.25">
      <c r="A96" s="1">
        <v>45218</v>
      </c>
      <c r="B96" t="s">
        <v>12</v>
      </c>
      <c r="C96" t="s">
        <v>17</v>
      </c>
      <c r="D96" t="s">
        <v>11</v>
      </c>
      <c r="E96" s="5">
        <v>17</v>
      </c>
      <c r="F96" s="6">
        <v>2016.18</v>
      </c>
      <c r="G96" s="6">
        <f t="shared" si="2"/>
        <v>34275.06</v>
      </c>
    </row>
    <row r="97" spans="1:7" x14ac:dyDescent="0.25">
      <c r="A97" s="1">
        <v>45219</v>
      </c>
      <c r="B97" t="s">
        <v>16</v>
      </c>
      <c r="C97" t="s">
        <v>21</v>
      </c>
      <c r="D97" t="s">
        <v>14</v>
      </c>
      <c r="E97" s="5">
        <v>2</v>
      </c>
      <c r="F97" s="6">
        <v>4499.49</v>
      </c>
      <c r="G97" s="6">
        <f t="shared" si="2"/>
        <v>8998.98</v>
      </c>
    </row>
    <row r="98" spans="1:7" x14ac:dyDescent="0.25">
      <c r="A98" s="1">
        <v>45225</v>
      </c>
      <c r="B98" t="s">
        <v>12</v>
      </c>
      <c r="C98" t="s">
        <v>18</v>
      </c>
      <c r="D98" t="s">
        <v>8</v>
      </c>
      <c r="E98" s="5">
        <v>11</v>
      </c>
      <c r="F98" s="6">
        <v>2465.4499999999998</v>
      </c>
      <c r="G98" s="6">
        <f t="shared" si="2"/>
        <v>27119.949999999997</v>
      </c>
    </row>
    <row r="99" spans="1:7" x14ac:dyDescent="0.25">
      <c r="A99" s="1">
        <v>45226</v>
      </c>
      <c r="B99" t="s">
        <v>12</v>
      </c>
      <c r="C99" t="s">
        <v>18</v>
      </c>
      <c r="D99" t="s">
        <v>15</v>
      </c>
      <c r="E99" s="5">
        <v>14</v>
      </c>
      <c r="F99" s="6">
        <v>313.20999999999998</v>
      </c>
      <c r="G99" s="6">
        <f t="shared" ref="G99:G130" si="3">F99*E99</f>
        <v>4384.9399999999996</v>
      </c>
    </row>
    <row r="100" spans="1:7" x14ac:dyDescent="0.25">
      <c r="A100" s="1">
        <v>45228</v>
      </c>
      <c r="B100" t="s">
        <v>7</v>
      </c>
      <c r="C100" t="s">
        <v>21</v>
      </c>
      <c r="D100" t="s">
        <v>10</v>
      </c>
      <c r="E100" s="5">
        <v>19</v>
      </c>
      <c r="F100" s="6">
        <v>1108.71</v>
      </c>
      <c r="G100" s="6">
        <f t="shared" si="3"/>
        <v>21065.49</v>
      </c>
    </row>
    <row r="101" spans="1:7" x14ac:dyDescent="0.25">
      <c r="A101" s="1">
        <v>45234</v>
      </c>
      <c r="B101" t="s">
        <v>9</v>
      </c>
      <c r="C101" t="s">
        <v>20</v>
      </c>
      <c r="D101" t="s">
        <v>14</v>
      </c>
      <c r="E101" s="5">
        <v>17</v>
      </c>
      <c r="F101" s="6">
        <v>179.65</v>
      </c>
      <c r="G101" s="6">
        <f t="shared" si="3"/>
        <v>3054.05</v>
      </c>
    </row>
    <row r="102" spans="1:7" x14ac:dyDescent="0.25">
      <c r="A102" s="1">
        <v>45248</v>
      </c>
      <c r="B102" t="s">
        <v>13</v>
      </c>
      <c r="C102" t="s">
        <v>20</v>
      </c>
      <c r="D102" t="s">
        <v>14</v>
      </c>
      <c r="E102" s="5">
        <v>15</v>
      </c>
      <c r="F102" s="6">
        <v>1651.42</v>
      </c>
      <c r="G102" s="6">
        <f t="shared" si="3"/>
        <v>24771.300000000003</v>
      </c>
    </row>
    <row r="103" spans="1:7" x14ac:dyDescent="0.25">
      <c r="A103" s="1">
        <v>45250</v>
      </c>
      <c r="B103" t="s">
        <v>12</v>
      </c>
      <c r="C103" t="s">
        <v>20</v>
      </c>
      <c r="D103" t="s">
        <v>15</v>
      </c>
      <c r="E103" s="5">
        <v>2</v>
      </c>
      <c r="F103" s="6">
        <v>827.4</v>
      </c>
      <c r="G103" s="6">
        <f t="shared" si="3"/>
        <v>1654.8</v>
      </c>
    </row>
    <row r="104" spans="1:7" x14ac:dyDescent="0.25">
      <c r="A104" s="1">
        <v>45250</v>
      </c>
      <c r="B104" t="s">
        <v>16</v>
      </c>
      <c r="C104" t="s">
        <v>18</v>
      </c>
      <c r="D104" t="s">
        <v>8</v>
      </c>
      <c r="E104" s="5">
        <v>11</v>
      </c>
      <c r="F104" s="6">
        <v>702.91</v>
      </c>
      <c r="G104" s="6">
        <f t="shared" si="3"/>
        <v>7732.0099999999993</v>
      </c>
    </row>
    <row r="105" spans="1:7" x14ac:dyDescent="0.25">
      <c r="A105" s="1">
        <v>45251</v>
      </c>
      <c r="B105" t="s">
        <v>7</v>
      </c>
      <c r="C105" t="s">
        <v>17</v>
      </c>
      <c r="D105" t="s">
        <v>11</v>
      </c>
      <c r="E105" s="5">
        <v>12</v>
      </c>
      <c r="F105" s="6">
        <v>3318.1</v>
      </c>
      <c r="G105" s="6">
        <f t="shared" si="3"/>
        <v>39817.199999999997</v>
      </c>
    </row>
    <row r="106" spans="1:7" x14ac:dyDescent="0.25">
      <c r="A106" s="1">
        <v>45253</v>
      </c>
      <c r="B106" t="s">
        <v>12</v>
      </c>
      <c r="C106" t="s">
        <v>19</v>
      </c>
      <c r="D106" t="s">
        <v>15</v>
      </c>
      <c r="E106" s="5">
        <v>4</v>
      </c>
      <c r="F106" s="6">
        <v>827.4</v>
      </c>
      <c r="G106" s="6">
        <f t="shared" si="3"/>
        <v>3309.6</v>
      </c>
    </row>
    <row r="107" spans="1:7" x14ac:dyDescent="0.25">
      <c r="A107" s="1">
        <v>45261</v>
      </c>
      <c r="B107" t="s">
        <v>12</v>
      </c>
      <c r="C107" t="s">
        <v>19</v>
      </c>
      <c r="D107" t="s">
        <v>10</v>
      </c>
      <c r="E107" s="5">
        <v>5</v>
      </c>
      <c r="F107" s="6">
        <v>4499.49</v>
      </c>
      <c r="G107" s="6">
        <f t="shared" si="3"/>
        <v>22497.449999999997</v>
      </c>
    </row>
    <row r="108" spans="1:7" x14ac:dyDescent="0.25">
      <c r="A108" s="1">
        <v>45263</v>
      </c>
      <c r="B108" t="s">
        <v>13</v>
      </c>
      <c r="C108" t="s">
        <v>17</v>
      </c>
      <c r="D108" t="s">
        <v>10</v>
      </c>
      <c r="E108" s="5">
        <v>6</v>
      </c>
      <c r="F108" s="6">
        <v>3218.22</v>
      </c>
      <c r="G108" s="6">
        <f t="shared" si="3"/>
        <v>19309.32</v>
      </c>
    </row>
    <row r="109" spans="1:7" x14ac:dyDescent="0.25">
      <c r="A109" s="1">
        <v>45264</v>
      </c>
      <c r="B109" t="s">
        <v>12</v>
      </c>
      <c r="C109" t="s">
        <v>17</v>
      </c>
      <c r="D109" t="s">
        <v>8</v>
      </c>
      <c r="E109" s="5">
        <v>12</v>
      </c>
      <c r="F109" s="6">
        <v>1417.08</v>
      </c>
      <c r="G109" s="6">
        <f t="shared" si="3"/>
        <v>17004.96</v>
      </c>
    </row>
    <row r="110" spans="1:7" x14ac:dyDescent="0.25">
      <c r="A110" s="1">
        <v>45266</v>
      </c>
      <c r="B110" t="s">
        <v>13</v>
      </c>
      <c r="C110" t="s">
        <v>19</v>
      </c>
      <c r="D110" t="s">
        <v>10</v>
      </c>
      <c r="E110" s="5">
        <v>1</v>
      </c>
      <c r="F110" s="6">
        <v>573.21</v>
      </c>
      <c r="G110" s="6">
        <f t="shared" si="3"/>
        <v>573.21</v>
      </c>
    </row>
    <row r="111" spans="1:7" x14ac:dyDescent="0.25">
      <c r="A111" s="1">
        <v>45266</v>
      </c>
      <c r="B111" t="s">
        <v>9</v>
      </c>
      <c r="C111" t="s">
        <v>21</v>
      </c>
      <c r="D111" t="s">
        <v>10</v>
      </c>
      <c r="E111" s="5">
        <v>15</v>
      </c>
      <c r="F111" s="6">
        <v>573.21</v>
      </c>
      <c r="G111" s="6">
        <f t="shared" si="3"/>
        <v>8598.1500000000015</v>
      </c>
    </row>
    <row r="112" spans="1:7" x14ac:dyDescent="0.25">
      <c r="A112" s="1">
        <v>45268</v>
      </c>
      <c r="B112" t="s">
        <v>9</v>
      </c>
      <c r="C112" t="s">
        <v>18</v>
      </c>
      <c r="D112" t="s">
        <v>15</v>
      </c>
      <c r="E112" s="5">
        <v>19</v>
      </c>
      <c r="F112" s="6">
        <v>2136.39</v>
      </c>
      <c r="G112" s="6">
        <f t="shared" si="3"/>
        <v>40591.409999999996</v>
      </c>
    </row>
    <row r="113" spans="1:7" x14ac:dyDescent="0.25">
      <c r="A113" s="1">
        <v>45271</v>
      </c>
      <c r="B113" t="s">
        <v>13</v>
      </c>
      <c r="C113" t="s">
        <v>19</v>
      </c>
      <c r="D113" t="s">
        <v>15</v>
      </c>
      <c r="E113" s="5">
        <v>8</v>
      </c>
      <c r="F113" s="6">
        <v>1966.9</v>
      </c>
      <c r="G113" s="6">
        <f t="shared" si="3"/>
        <v>15735.2</v>
      </c>
    </row>
    <row r="114" spans="1:7" x14ac:dyDescent="0.25">
      <c r="A114" s="1">
        <v>45273</v>
      </c>
      <c r="B114" t="s">
        <v>13</v>
      </c>
      <c r="C114" t="s">
        <v>17</v>
      </c>
      <c r="D114" t="s">
        <v>14</v>
      </c>
      <c r="E114" s="5">
        <v>16</v>
      </c>
      <c r="F114" s="6">
        <v>1651.42</v>
      </c>
      <c r="G114" s="6">
        <f t="shared" si="3"/>
        <v>26422.720000000001</v>
      </c>
    </row>
    <row r="115" spans="1:7" x14ac:dyDescent="0.25">
      <c r="A115" s="1">
        <v>45274</v>
      </c>
      <c r="B115" t="s">
        <v>13</v>
      </c>
      <c r="C115" t="s">
        <v>21</v>
      </c>
      <c r="D115" t="s">
        <v>14</v>
      </c>
      <c r="E115" s="5">
        <v>17</v>
      </c>
      <c r="F115" s="6">
        <v>827.4</v>
      </c>
      <c r="G115" s="6">
        <f t="shared" si="3"/>
        <v>14065.8</v>
      </c>
    </row>
    <row r="116" spans="1:7" x14ac:dyDescent="0.25">
      <c r="A116" s="1">
        <v>45276</v>
      </c>
      <c r="B116" t="s">
        <v>12</v>
      </c>
      <c r="C116" t="s">
        <v>20</v>
      </c>
      <c r="D116" t="s">
        <v>15</v>
      </c>
      <c r="E116" s="5">
        <v>3</v>
      </c>
      <c r="F116" s="6">
        <v>2649.97</v>
      </c>
      <c r="G116" s="6">
        <f t="shared" si="3"/>
        <v>7949.91</v>
      </c>
    </row>
    <row r="117" spans="1:7" x14ac:dyDescent="0.25">
      <c r="A117" s="1">
        <v>45280</v>
      </c>
      <c r="B117" t="s">
        <v>16</v>
      </c>
      <c r="C117" t="s">
        <v>20</v>
      </c>
      <c r="D117" t="s">
        <v>14</v>
      </c>
      <c r="E117" s="5">
        <v>9</v>
      </c>
      <c r="F117" s="6">
        <v>3523.1</v>
      </c>
      <c r="G117" s="6">
        <f t="shared" si="3"/>
        <v>31707.899999999998</v>
      </c>
    </row>
    <row r="118" spans="1:7" x14ac:dyDescent="0.25">
      <c r="A118" s="1">
        <v>45280</v>
      </c>
      <c r="B118" t="s">
        <v>12</v>
      </c>
      <c r="C118" t="s">
        <v>20</v>
      </c>
      <c r="D118" t="s">
        <v>11</v>
      </c>
      <c r="E118" s="5">
        <v>3</v>
      </c>
      <c r="F118" s="6">
        <v>1650.85</v>
      </c>
      <c r="G118" s="6">
        <f t="shared" si="3"/>
        <v>4952.5499999999993</v>
      </c>
    </row>
    <row r="119" spans="1:7" x14ac:dyDescent="0.25">
      <c r="A119" s="1">
        <v>45284</v>
      </c>
      <c r="B119" t="s">
        <v>7</v>
      </c>
      <c r="C119" t="s">
        <v>17</v>
      </c>
      <c r="D119" t="s">
        <v>15</v>
      </c>
      <c r="E119" s="5">
        <v>5</v>
      </c>
      <c r="F119" s="6">
        <v>670.54</v>
      </c>
      <c r="G119" s="6">
        <f t="shared" si="3"/>
        <v>3352.7</v>
      </c>
    </row>
    <row r="120" spans="1:7" x14ac:dyDescent="0.25">
      <c r="A120" s="1">
        <v>45286</v>
      </c>
      <c r="B120" t="s">
        <v>16</v>
      </c>
      <c r="C120" t="s">
        <v>19</v>
      </c>
      <c r="D120" t="s">
        <v>10</v>
      </c>
      <c r="E120" s="5">
        <v>1</v>
      </c>
      <c r="F120" s="6">
        <v>4499.49</v>
      </c>
      <c r="G120" s="6">
        <f t="shared" si="3"/>
        <v>4499.49</v>
      </c>
    </row>
    <row r="121" spans="1:7" x14ac:dyDescent="0.25">
      <c r="A121" s="1">
        <v>45288</v>
      </c>
      <c r="B121" t="s">
        <v>13</v>
      </c>
      <c r="C121" t="s">
        <v>20</v>
      </c>
      <c r="D121" t="s">
        <v>10</v>
      </c>
      <c r="E121" s="5">
        <v>19</v>
      </c>
      <c r="F121" s="6">
        <v>380.24</v>
      </c>
      <c r="G121" s="6">
        <f t="shared" si="3"/>
        <v>7224.56</v>
      </c>
    </row>
    <row r="122" spans="1:7" x14ac:dyDescent="0.25">
      <c r="A122" s="1">
        <v>45291</v>
      </c>
      <c r="B122" t="s">
        <v>7</v>
      </c>
      <c r="C122" t="s">
        <v>20</v>
      </c>
      <c r="D122" t="s">
        <v>15</v>
      </c>
      <c r="E122" s="5">
        <v>10</v>
      </c>
      <c r="F122" s="6">
        <v>313.20999999999998</v>
      </c>
      <c r="G122" s="6">
        <f t="shared" si="3"/>
        <v>3132.1</v>
      </c>
    </row>
    <row r="123" spans="1:7" x14ac:dyDescent="0.25">
      <c r="F123" s="7"/>
      <c r="G123" s="6"/>
    </row>
  </sheetData>
  <autoFilter ref="A2:G123" xr:uid="{00000000-0001-0000-0000-000000000000}">
    <sortState xmlns:xlrd2="http://schemas.microsoft.com/office/spreadsheetml/2017/richdata2" ref="A3:G123">
      <sortCondition ref="A2:A123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171A-A64B-4A47-9F0F-E9F4B66FA6AC}">
  <dimension ref="A1:G14"/>
  <sheetViews>
    <sheetView workbookViewId="0">
      <selection activeCell="A3" sqref="A3:G14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3.140625" bestFit="1" customWidth="1"/>
    <col min="4" max="4" width="12.140625" bestFit="1" customWidth="1"/>
    <col min="5" max="5" width="13.7109375" bestFit="1" customWidth="1"/>
    <col min="6" max="6" width="16.140625" bestFit="1" customWidth="1"/>
    <col min="7" max="7" width="9.85546875" bestFit="1" customWidth="1"/>
  </cols>
  <sheetData>
    <row r="1" spans="1:7" x14ac:dyDescent="0.25">
      <c r="A1" s="7" t="s">
        <v>47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5">
      <c r="A4" s="1">
        <v>45080</v>
      </c>
      <c r="B4" t="s">
        <v>12</v>
      </c>
      <c r="C4" t="s">
        <v>20</v>
      </c>
      <c r="D4" t="s">
        <v>10</v>
      </c>
      <c r="E4">
        <v>6</v>
      </c>
      <c r="F4">
        <v>2049.16</v>
      </c>
      <c r="G4">
        <v>12294.96</v>
      </c>
    </row>
    <row r="5" spans="1:7" x14ac:dyDescent="0.25">
      <c r="A5" s="1">
        <v>45081</v>
      </c>
      <c r="B5" t="s">
        <v>7</v>
      </c>
      <c r="C5" t="s">
        <v>20</v>
      </c>
      <c r="D5" t="s">
        <v>8</v>
      </c>
      <c r="E5">
        <v>2</v>
      </c>
      <c r="F5">
        <v>1168.19</v>
      </c>
      <c r="G5">
        <v>2336.38</v>
      </c>
    </row>
    <row r="6" spans="1:7" x14ac:dyDescent="0.25">
      <c r="A6" s="1">
        <v>45082</v>
      </c>
      <c r="B6" t="s">
        <v>9</v>
      </c>
      <c r="C6" t="s">
        <v>17</v>
      </c>
      <c r="D6" t="s">
        <v>15</v>
      </c>
      <c r="E6">
        <v>10</v>
      </c>
      <c r="F6">
        <v>3923.26</v>
      </c>
      <c r="G6">
        <v>39232.600000000006</v>
      </c>
    </row>
    <row r="7" spans="1:7" x14ac:dyDescent="0.25">
      <c r="A7" s="1">
        <v>45086</v>
      </c>
      <c r="B7" t="s">
        <v>12</v>
      </c>
      <c r="C7" t="s">
        <v>18</v>
      </c>
      <c r="D7" t="s">
        <v>11</v>
      </c>
      <c r="E7">
        <v>3</v>
      </c>
      <c r="F7">
        <v>4513.8999999999996</v>
      </c>
      <c r="G7">
        <v>13541.699999999999</v>
      </c>
    </row>
    <row r="8" spans="1:7" x14ac:dyDescent="0.25">
      <c r="A8" s="1">
        <v>45091</v>
      </c>
      <c r="B8" t="s">
        <v>16</v>
      </c>
      <c r="C8" t="s">
        <v>17</v>
      </c>
      <c r="D8" t="s">
        <v>11</v>
      </c>
      <c r="E8">
        <v>10</v>
      </c>
      <c r="F8">
        <v>2016.18</v>
      </c>
      <c r="G8">
        <v>20161.8</v>
      </c>
    </row>
    <row r="9" spans="1:7" x14ac:dyDescent="0.25">
      <c r="A9" s="1">
        <v>45091</v>
      </c>
      <c r="B9" t="s">
        <v>12</v>
      </c>
      <c r="C9" t="s">
        <v>21</v>
      </c>
      <c r="D9" t="s">
        <v>10</v>
      </c>
      <c r="E9">
        <v>10</v>
      </c>
      <c r="F9">
        <v>807.99</v>
      </c>
      <c r="G9">
        <v>8079.9</v>
      </c>
    </row>
    <row r="10" spans="1:7" x14ac:dyDescent="0.25">
      <c r="A10" s="1">
        <v>45091</v>
      </c>
      <c r="B10" t="s">
        <v>9</v>
      </c>
      <c r="C10" t="s">
        <v>19</v>
      </c>
      <c r="D10" t="s">
        <v>11</v>
      </c>
      <c r="E10">
        <v>14</v>
      </c>
      <c r="F10">
        <v>1401.69</v>
      </c>
      <c r="G10">
        <v>19623.66</v>
      </c>
    </row>
    <row r="11" spans="1:7" x14ac:dyDescent="0.25">
      <c r="A11" s="1">
        <v>45093</v>
      </c>
      <c r="B11" t="s">
        <v>12</v>
      </c>
      <c r="C11" t="s">
        <v>18</v>
      </c>
      <c r="D11" t="s">
        <v>15</v>
      </c>
      <c r="E11">
        <v>20</v>
      </c>
      <c r="F11">
        <v>2505.5500000000002</v>
      </c>
      <c r="G11">
        <v>50111</v>
      </c>
    </row>
    <row r="12" spans="1:7" x14ac:dyDescent="0.25">
      <c r="A12" s="1">
        <v>45097</v>
      </c>
      <c r="B12" t="s">
        <v>16</v>
      </c>
      <c r="C12" t="s">
        <v>18</v>
      </c>
      <c r="D12" t="s">
        <v>15</v>
      </c>
      <c r="E12">
        <v>3</v>
      </c>
      <c r="F12">
        <v>573.21</v>
      </c>
      <c r="G12">
        <v>1719.63</v>
      </c>
    </row>
    <row r="13" spans="1:7" x14ac:dyDescent="0.25">
      <c r="A13" s="1">
        <v>45101</v>
      </c>
      <c r="B13" t="s">
        <v>13</v>
      </c>
      <c r="C13" t="s">
        <v>21</v>
      </c>
      <c r="D13" t="s">
        <v>14</v>
      </c>
      <c r="E13">
        <v>8</v>
      </c>
      <c r="F13">
        <v>4961.6000000000004</v>
      </c>
      <c r="G13">
        <v>39692.800000000003</v>
      </c>
    </row>
    <row r="14" spans="1:7" x14ac:dyDescent="0.25">
      <c r="A14" s="1">
        <v>45106</v>
      </c>
      <c r="B14" t="s">
        <v>13</v>
      </c>
      <c r="C14" t="s">
        <v>20</v>
      </c>
      <c r="D14" t="s">
        <v>15</v>
      </c>
      <c r="E14">
        <v>18</v>
      </c>
      <c r="F14">
        <v>1424.69</v>
      </c>
      <c r="G14">
        <v>25644.420000000002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8C4F-4510-4B71-BD29-9F0FBEB655ED}">
  <dimension ref="B4:G21"/>
  <sheetViews>
    <sheetView tabSelected="1" zoomScale="95" zoomScaleNormal="95" workbookViewId="0">
      <selection activeCell="L13" sqref="L13"/>
    </sheetView>
  </sheetViews>
  <sheetFormatPr defaultRowHeight="15" x14ac:dyDescent="0.25"/>
  <cols>
    <col min="1" max="1" width="20.140625" bestFit="1" customWidth="1"/>
    <col min="2" max="2" width="22.42578125" bestFit="1" customWidth="1"/>
    <col min="3" max="3" width="26.5703125" bestFit="1" customWidth="1"/>
    <col min="4" max="4" width="12.5703125" bestFit="1" customWidth="1"/>
    <col min="5" max="5" width="31.140625" bestFit="1" customWidth="1"/>
    <col min="6" max="6" width="4.5703125" customWidth="1"/>
    <col min="7" max="7" width="31.140625" customWidth="1"/>
    <col min="14" max="14" width="12.28515625" customWidth="1"/>
    <col min="15" max="15" width="30" customWidth="1"/>
  </cols>
  <sheetData>
    <row r="4" spans="2:7" x14ac:dyDescent="0.25">
      <c r="G4" s="2" t="s">
        <v>44</v>
      </c>
    </row>
    <row r="5" spans="2:7" x14ac:dyDescent="0.25">
      <c r="B5" s="2" t="s">
        <v>40</v>
      </c>
      <c r="C5" s="2" t="s">
        <v>41</v>
      </c>
      <c r="D5" s="2" t="s">
        <v>42</v>
      </c>
      <c r="G5" t="s">
        <v>45</v>
      </c>
    </row>
    <row r="6" spans="2:7" x14ac:dyDescent="0.25">
      <c r="B6" s="6">
        <f>SUM('Dados Tratados'!G3:G122)</f>
        <v>2341703.4100000015</v>
      </c>
      <c r="C6" s="5">
        <f>SUM('Dados Tratados'!E3:E122)</f>
        <v>1180</v>
      </c>
      <c r="D6" s="6">
        <f>B6/C6</f>
        <v>1984.4944152542387</v>
      </c>
      <c r="G6" t="s">
        <v>46</v>
      </c>
    </row>
    <row r="8" spans="2:7" x14ac:dyDescent="0.25">
      <c r="B8" s="10" t="s">
        <v>43</v>
      </c>
      <c r="C8" s="8" t="s">
        <v>27</v>
      </c>
    </row>
    <row r="9" spans="2:7" x14ac:dyDescent="0.25">
      <c r="B9" s="9" t="s">
        <v>28</v>
      </c>
      <c r="C9" s="11">
        <v>199573.19000000003</v>
      </c>
    </row>
    <row r="10" spans="2:7" x14ac:dyDescent="0.25">
      <c r="B10" s="9" t="s">
        <v>29</v>
      </c>
      <c r="C10" s="11">
        <v>169251.27</v>
      </c>
    </row>
    <row r="11" spans="2:7" x14ac:dyDescent="0.25">
      <c r="B11" s="9" t="s">
        <v>30</v>
      </c>
      <c r="C11" s="11">
        <v>163357.34999999998</v>
      </c>
    </row>
    <row r="12" spans="2:7" x14ac:dyDescent="0.25">
      <c r="B12" s="9" t="s">
        <v>31</v>
      </c>
      <c r="C12" s="11">
        <v>90114.66</v>
      </c>
    </row>
    <row r="13" spans="2:7" x14ac:dyDescent="0.25">
      <c r="B13" s="9" t="s">
        <v>32</v>
      </c>
      <c r="C13" s="11">
        <v>160544.88999999998</v>
      </c>
    </row>
    <row r="14" spans="2:7" x14ac:dyDescent="0.25">
      <c r="B14" s="9" t="s">
        <v>33</v>
      </c>
      <c r="C14" s="11">
        <v>232438.85</v>
      </c>
    </row>
    <row r="15" spans="2:7" x14ac:dyDescent="0.25">
      <c r="B15" s="9" t="s">
        <v>34</v>
      </c>
      <c r="C15" s="11">
        <v>207404.83999999997</v>
      </c>
    </row>
    <row r="16" spans="2:7" x14ac:dyDescent="0.25">
      <c r="B16" s="9" t="s">
        <v>35</v>
      </c>
      <c r="C16" s="11">
        <v>380675.46000000008</v>
      </c>
    </row>
    <row r="17" spans="2:3" x14ac:dyDescent="0.25">
      <c r="B17" s="9" t="s">
        <v>36</v>
      </c>
      <c r="C17" s="11">
        <v>226648.61999999997</v>
      </c>
    </row>
    <row r="18" spans="2:3" x14ac:dyDescent="0.25">
      <c r="B18" s="9" t="s">
        <v>37</v>
      </c>
      <c r="C18" s="11">
        <v>203737.89</v>
      </c>
    </row>
    <row r="19" spans="2:3" x14ac:dyDescent="0.25">
      <c r="B19" s="9" t="s">
        <v>38</v>
      </c>
      <c r="C19" s="11">
        <v>80338.960000000006</v>
      </c>
    </row>
    <row r="20" spans="2:3" x14ac:dyDescent="0.25">
      <c r="B20" s="9" t="s">
        <v>39</v>
      </c>
      <c r="C20" s="11">
        <v>227617.42999999996</v>
      </c>
    </row>
    <row r="21" spans="2:3" x14ac:dyDescent="0.25">
      <c r="B21" s="9" t="s">
        <v>26</v>
      </c>
      <c r="C21" s="6">
        <v>2341703.41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8F76-FE33-44D5-B879-616F6349FAC8}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Tratados</vt:lpstr>
      <vt:lpstr>Detalhes1</vt:lpstr>
      <vt:lpstr>Análises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Kaike Mendes</dc:creator>
  <cp:lastModifiedBy>Kaike Mendes</cp:lastModifiedBy>
  <dcterms:created xsi:type="dcterms:W3CDTF">2015-06-05T18:19:34Z</dcterms:created>
  <dcterms:modified xsi:type="dcterms:W3CDTF">2026-04-28T15:00:07Z</dcterms:modified>
</cp:coreProperties>
</file>